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tzhadmin\Desktop\outpeer\hw 13\"/>
    </mc:Choice>
  </mc:AlternateContent>
  <xr:revisionPtr revIDLastSave="0" documentId="13_ncr:1_{99827E0E-C04C-46D6-BEBD-B37A9D055E98}" xr6:coauthVersionLast="47" xr6:coauthVersionMax="47" xr10:uidLastSave="{00000000-0000-0000-0000-000000000000}"/>
  <bookViews>
    <workbookView xWindow="-110" yWindow="-110" windowWidth="19420" windowHeight="11500" firstSheet="2" activeTab="6" xr2:uid="{00000000-000D-0000-FFFF-FFFF00000000}"/>
  </bookViews>
  <sheets>
    <sheet name="📊 Цены" sheetId="1" r:id="rId1"/>
    <sheet name="📈 Доходности" sheetId="2" r:id="rId2"/>
    <sheet name="📊 Корреляция" sheetId="3" r:id="rId3"/>
    <sheet name="📈 Регрессия" sheetId="4" r:id="rId4"/>
    <sheet name="🏅 Ранговые методы" sheetId="5" r:id="rId5"/>
    <sheet name="⭐ Бонус" sheetId="6" r:id="rId6"/>
    <sheet name="6 бонус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" i="7" l="1"/>
  <c r="E12" i="7"/>
  <c r="F12" i="7"/>
  <c r="G12" i="7"/>
  <c r="H12" i="7"/>
  <c r="I12" i="7"/>
  <c r="D12" i="7"/>
  <c r="E11" i="7"/>
  <c r="F11" i="7"/>
  <c r="G11" i="7"/>
  <c r="H11" i="7"/>
  <c r="I11" i="7"/>
  <c r="D11" i="7"/>
  <c r="E8" i="7"/>
  <c r="F8" i="7"/>
  <c r="G8" i="7"/>
  <c r="H8" i="7"/>
  <c r="I8" i="7"/>
  <c r="D8" i="7"/>
  <c r="E10" i="7"/>
  <c r="F10" i="7"/>
  <c r="G10" i="7"/>
  <c r="H10" i="7"/>
  <c r="I10" i="7"/>
  <c r="D10" i="7"/>
  <c r="E9" i="7"/>
  <c r="F9" i="7"/>
  <c r="G9" i="7"/>
  <c r="H9" i="7"/>
  <c r="I9" i="7"/>
  <c r="D9" i="7"/>
  <c r="D7" i="7"/>
  <c r="B11" i="4"/>
  <c r="F138" i="2"/>
  <c r="G138" i="2"/>
  <c r="G137" i="2"/>
  <c r="G136" i="2"/>
  <c r="G135" i="2"/>
  <c r="G144" i="2"/>
  <c r="G145" i="2" s="1"/>
  <c r="B144" i="2"/>
  <c r="B152" i="2"/>
  <c r="G25" i="3"/>
  <c r="C7" i="2"/>
  <c r="C6" i="2"/>
  <c r="D17" i="4" s="1"/>
  <c r="D18" i="6"/>
  <c r="D41" i="5"/>
  <c r="D40" i="5"/>
  <c r="D39" i="5"/>
  <c r="D38" i="5"/>
  <c r="A38" i="5"/>
  <c r="C8" i="5"/>
  <c r="C7" i="5"/>
  <c r="E7" i="5" s="1"/>
  <c r="G28" i="3"/>
  <c r="G27" i="3"/>
  <c r="E27" i="3"/>
  <c r="C28" i="3"/>
  <c r="C27" i="3"/>
  <c r="C18" i="3"/>
  <c r="C17" i="3"/>
  <c r="F144" i="2"/>
  <c r="E144" i="2"/>
  <c r="E145" i="2" s="1"/>
  <c r="D144" i="2"/>
  <c r="C144" i="2"/>
  <c r="D44" i="5"/>
  <c r="A43" i="5"/>
  <c r="D42" i="5"/>
  <c r="A39" i="5"/>
  <c r="C25" i="5"/>
  <c r="C23" i="5"/>
  <c r="B23" i="5"/>
  <c r="C20" i="5"/>
  <c r="B19" i="5"/>
  <c r="C17" i="5"/>
  <c r="C15" i="5"/>
  <c r="B15" i="5"/>
  <c r="C12" i="5"/>
  <c r="B11" i="5"/>
  <c r="C9" i="5"/>
  <c r="D141" i="4"/>
  <c r="D140" i="4"/>
  <c r="D139" i="4"/>
  <c r="B139" i="4"/>
  <c r="D137" i="4"/>
  <c r="B137" i="4"/>
  <c r="D135" i="4"/>
  <c r="D134" i="4"/>
  <c r="B134" i="4"/>
  <c r="B133" i="4"/>
  <c r="B132" i="4"/>
  <c r="B131" i="4"/>
  <c r="D129" i="4"/>
  <c r="B129" i="4"/>
  <c r="B126" i="4"/>
  <c r="D125" i="4"/>
  <c r="D123" i="4"/>
  <c r="B123" i="4"/>
  <c r="D121" i="4"/>
  <c r="B121" i="4"/>
  <c r="B120" i="4"/>
  <c r="D119" i="4"/>
  <c r="B118" i="4"/>
  <c r="B117" i="4"/>
  <c r="B116" i="4"/>
  <c r="B115" i="4"/>
  <c r="D113" i="4"/>
  <c r="B113" i="4"/>
  <c r="B110" i="4"/>
  <c r="D109" i="4"/>
  <c r="D107" i="4"/>
  <c r="B107" i="4"/>
  <c r="D105" i="4"/>
  <c r="B105" i="4"/>
  <c r="B104" i="4"/>
  <c r="D103" i="4"/>
  <c r="B102" i="4"/>
  <c r="B101" i="4"/>
  <c r="B100" i="4"/>
  <c r="B99" i="4"/>
  <c r="D97" i="4"/>
  <c r="B97" i="4"/>
  <c r="B94" i="4"/>
  <c r="D93" i="4"/>
  <c r="D91" i="4"/>
  <c r="B91" i="4"/>
  <c r="D89" i="4"/>
  <c r="B89" i="4"/>
  <c r="B88" i="4"/>
  <c r="D87" i="4"/>
  <c r="B85" i="4"/>
  <c r="D84" i="4"/>
  <c r="B84" i="4"/>
  <c r="B83" i="4"/>
  <c r="D81" i="4"/>
  <c r="B81" i="4"/>
  <c r="D78" i="4"/>
  <c r="B78" i="4"/>
  <c r="D77" i="4"/>
  <c r="D75" i="4"/>
  <c r="B75" i="4"/>
  <c r="D73" i="4"/>
  <c r="B73" i="4"/>
  <c r="D71" i="4"/>
  <c r="B69" i="4"/>
  <c r="B68" i="4"/>
  <c r="B67" i="4"/>
  <c r="D65" i="4"/>
  <c r="B65" i="4"/>
  <c r="D61" i="4"/>
  <c r="D59" i="4"/>
  <c r="B59" i="4"/>
  <c r="B58" i="4"/>
  <c r="D57" i="4"/>
  <c r="B57" i="4"/>
  <c r="B56" i="4"/>
  <c r="D55" i="4"/>
  <c r="B54" i="4"/>
  <c r="B53" i="4"/>
  <c r="B51" i="4"/>
  <c r="D49" i="4"/>
  <c r="B49" i="4"/>
  <c r="B46" i="4"/>
  <c r="D45" i="4"/>
  <c r="D43" i="4"/>
  <c r="B43" i="4"/>
  <c r="B42" i="4"/>
  <c r="D41" i="4"/>
  <c r="B41" i="4"/>
  <c r="B40" i="4"/>
  <c r="D39" i="4"/>
  <c r="B38" i="4"/>
  <c r="B37" i="4"/>
  <c r="B36" i="4"/>
  <c r="B35" i="4"/>
  <c r="D33" i="4"/>
  <c r="B33" i="4"/>
  <c r="B30" i="4"/>
  <c r="D29" i="4"/>
  <c r="D27" i="4"/>
  <c r="B27" i="4"/>
  <c r="B26" i="4"/>
  <c r="D25" i="4"/>
  <c r="B25" i="4"/>
  <c r="B24" i="4"/>
  <c r="D23" i="4"/>
  <c r="B22" i="4"/>
  <c r="B21" i="4"/>
  <c r="B20" i="4"/>
  <c r="B19" i="4"/>
  <c r="B17" i="4"/>
  <c r="G10" i="3"/>
  <c r="D18" i="3" s="1"/>
  <c r="F8" i="3"/>
  <c r="G7" i="3"/>
  <c r="F145" i="2"/>
  <c r="D145" i="2"/>
  <c r="C145" i="2"/>
  <c r="H137" i="2"/>
  <c r="E137" i="2"/>
  <c r="H136" i="2"/>
  <c r="H138" i="2" s="1"/>
  <c r="C136" i="2"/>
  <c r="C138" i="2" s="1"/>
  <c r="H135" i="2"/>
  <c r="F135" i="2"/>
  <c r="F137" i="2" s="1"/>
  <c r="E135" i="2"/>
  <c r="C135" i="2"/>
  <c r="C137" i="2" s="1"/>
  <c r="I130" i="2"/>
  <c r="B141" i="4" s="1"/>
  <c r="H130" i="2"/>
  <c r="G130" i="2"/>
  <c r="F130" i="2"/>
  <c r="E130" i="2"/>
  <c r="D130" i="2"/>
  <c r="C130" i="2"/>
  <c r="A130" i="2"/>
  <c r="I129" i="2"/>
  <c r="B140" i="4" s="1"/>
  <c r="H129" i="2"/>
  <c r="G129" i="2"/>
  <c r="F129" i="2"/>
  <c r="E129" i="2"/>
  <c r="D129" i="2"/>
  <c r="C129" i="2"/>
  <c r="A129" i="2"/>
  <c r="I128" i="2"/>
  <c r="H128" i="2"/>
  <c r="G128" i="2"/>
  <c r="F128" i="2"/>
  <c r="E128" i="2"/>
  <c r="D128" i="2"/>
  <c r="C128" i="2"/>
  <c r="A128" i="2"/>
  <c r="I127" i="2"/>
  <c r="B138" i="4" s="1"/>
  <c r="H127" i="2"/>
  <c r="G127" i="2"/>
  <c r="F127" i="2"/>
  <c r="E127" i="2"/>
  <c r="D127" i="2"/>
  <c r="C127" i="2"/>
  <c r="D138" i="4" s="1"/>
  <c r="A127" i="2"/>
  <c r="I126" i="2"/>
  <c r="H126" i="2"/>
  <c r="G126" i="2"/>
  <c r="F126" i="2"/>
  <c r="E126" i="2"/>
  <c r="D126" i="2"/>
  <c r="C126" i="2"/>
  <c r="A126" i="2"/>
  <c r="I125" i="2"/>
  <c r="B136" i="4" s="1"/>
  <c r="H125" i="2"/>
  <c r="G125" i="2"/>
  <c r="F125" i="2"/>
  <c r="E125" i="2"/>
  <c r="D125" i="2"/>
  <c r="C125" i="2"/>
  <c r="D136" i="4" s="1"/>
  <c r="A125" i="2"/>
  <c r="I124" i="2"/>
  <c r="B135" i="4" s="1"/>
  <c r="H124" i="2"/>
  <c r="G124" i="2"/>
  <c r="F124" i="2"/>
  <c r="E124" i="2"/>
  <c r="D124" i="2"/>
  <c r="C124" i="2"/>
  <c r="A124" i="2"/>
  <c r="I123" i="2"/>
  <c r="H123" i="2"/>
  <c r="G123" i="2"/>
  <c r="F123" i="2"/>
  <c r="E123" i="2"/>
  <c r="D123" i="2"/>
  <c r="C123" i="2"/>
  <c r="A123" i="2"/>
  <c r="I122" i="2"/>
  <c r="H122" i="2"/>
  <c r="G122" i="2"/>
  <c r="F122" i="2"/>
  <c r="E122" i="2"/>
  <c r="D122" i="2"/>
  <c r="C122" i="2"/>
  <c r="D133" i="4" s="1"/>
  <c r="A122" i="2"/>
  <c r="I121" i="2"/>
  <c r="H121" i="2"/>
  <c r="G121" i="2"/>
  <c r="F121" i="2"/>
  <c r="E121" i="2"/>
  <c r="D121" i="2"/>
  <c r="C121" i="2"/>
  <c r="D132" i="4" s="1"/>
  <c r="A121" i="2"/>
  <c r="I120" i="2"/>
  <c r="H120" i="2"/>
  <c r="G120" i="2"/>
  <c r="F120" i="2"/>
  <c r="E120" i="2"/>
  <c r="D120" i="2"/>
  <c r="C120" i="2"/>
  <c r="D131" i="4" s="1"/>
  <c r="A120" i="2"/>
  <c r="I119" i="2"/>
  <c r="B130" i="4" s="1"/>
  <c r="H119" i="2"/>
  <c r="G119" i="2"/>
  <c r="F119" i="2"/>
  <c r="E119" i="2"/>
  <c r="D119" i="2"/>
  <c r="C119" i="2"/>
  <c r="D130" i="4" s="1"/>
  <c r="A119" i="2"/>
  <c r="I118" i="2"/>
  <c r="H118" i="2"/>
  <c r="G118" i="2"/>
  <c r="F118" i="2"/>
  <c r="E118" i="2"/>
  <c r="D118" i="2"/>
  <c r="C118" i="2"/>
  <c r="A118" i="2"/>
  <c r="I117" i="2"/>
  <c r="B128" i="4" s="1"/>
  <c r="H117" i="2"/>
  <c r="G117" i="2"/>
  <c r="F117" i="2"/>
  <c r="E117" i="2"/>
  <c r="D117" i="2"/>
  <c r="C117" i="2"/>
  <c r="D128" i="4" s="1"/>
  <c r="A117" i="2"/>
  <c r="I116" i="2"/>
  <c r="B127" i="4" s="1"/>
  <c r="H116" i="2"/>
  <c r="G116" i="2"/>
  <c r="F116" i="2"/>
  <c r="E116" i="2"/>
  <c r="D116" i="2"/>
  <c r="C116" i="2"/>
  <c r="D127" i="4" s="1"/>
  <c r="A116" i="2"/>
  <c r="I115" i="2"/>
  <c r="H115" i="2"/>
  <c r="G115" i="2"/>
  <c r="F115" i="2"/>
  <c r="E115" i="2"/>
  <c r="D115" i="2"/>
  <c r="C115" i="2"/>
  <c r="D126" i="4" s="1"/>
  <c r="A115" i="2"/>
  <c r="I114" i="2"/>
  <c r="B125" i="4" s="1"/>
  <c r="H114" i="2"/>
  <c r="G114" i="2"/>
  <c r="F114" i="2"/>
  <c r="E114" i="2"/>
  <c r="D114" i="2"/>
  <c r="C114" i="2"/>
  <c r="A114" i="2"/>
  <c r="I113" i="2"/>
  <c r="B124" i="4" s="1"/>
  <c r="H113" i="2"/>
  <c r="G113" i="2"/>
  <c r="F113" i="2"/>
  <c r="E113" i="2"/>
  <c r="D113" i="2"/>
  <c r="C113" i="2"/>
  <c r="D124" i="4" s="1"/>
  <c r="A113" i="2"/>
  <c r="I112" i="2"/>
  <c r="H112" i="2"/>
  <c r="G112" i="2"/>
  <c r="F112" i="2"/>
  <c r="E112" i="2"/>
  <c r="D112" i="2"/>
  <c r="C112" i="2"/>
  <c r="A112" i="2"/>
  <c r="I111" i="2"/>
  <c r="B122" i="4" s="1"/>
  <c r="H111" i="2"/>
  <c r="G111" i="2"/>
  <c r="F111" i="2"/>
  <c r="E111" i="2"/>
  <c r="D111" i="2"/>
  <c r="C111" i="2"/>
  <c r="D122" i="4" s="1"/>
  <c r="A111" i="2"/>
  <c r="I110" i="2"/>
  <c r="H110" i="2"/>
  <c r="G110" i="2"/>
  <c r="F110" i="2"/>
  <c r="E110" i="2"/>
  <c r="D110" i="2"/>
  <c r="C110" i="2"/>
  <c r="A110" i="2"/>
  <c r="I109" i="2"/>
  <c r="H109" i="2"/>
  <c r="G109" i="2"/>
  <c r="F109" i="2"/>
  <c r="E109" i="2"/>
  <c r="D109" i="2"/>
  <c r="C109" i="2"/>
  <c r="D120" i="4" s="1"/>
  <c r="A109" i="2"/>
  <c r="I108" i="2"/>
  <c r="B119" i="4" s="1"/>
  <c r="H108" i="2"/>
  <c r="G108" i="2"/>
  <c r="F108" i="2"/>
  <c r="E108" i="2"/>
  <c r="D108" i="2"/>
  <c r="C108" i="2"/>
  <c r="A108" i="2"/>
  <c r="I107" i="2"/>
  <c r="H107" i="2"/>
  <c r="G107" i="2"/>
  <c r="F107" i="2"/>
  <c r="E107" i="2"/>
  <c r="D107" i="2"/>
  <c r="C107" i="2"/>
  <c r="D118" i="4" s="1"/>
  <c r="A107" i="2"/>
  <c r="I106" i="2"/>
  <c r="H106" i="2"/>
  <c r="G106" i="2"/>
  <c r="F106" i="2"/>
  <c r="E106" i="2"/>
  <c r="D106" i="2"/>
  <c r="C106" i="2"/>
  <c r="D117" i="4" s="1"/>
  <c r="A106" i="2"/>
  <c r="I105" i="2"/>
  <c r="H105" i="2"/>
  <c r="G105" i="2"/>
  <c r="F105" i="2"/>
  <c r="E105" i="2"/>
  <c r="D105" i="2"/>
  <c r="C105" i="2"/>
  <c r="D116" i="4" s="1"/>
  <c r="A105" i="2"/>
  <c r="I104" i="2"/>
  <c r="H104" i="2"/>
  <c r="G104" i="2"/>
  <c r="F104" i="2"/>
  <c r="E104" i="2"/>
  <c r="D104" i="2"/>
  <c r="C104" i="2"/>
  <c r="D115" i="4" s="1"/>
  <c r="A104" i="2"/>
  <c r="I103" i="2"/>
  <c r="B114" i="4" s="1"/>
  <c r="H103" i="2"/>
  <c r="G103" i="2"/>
  <c r="F103" i="2"/>
  <c r="E103" i="2"/>
  <c r="D103" i="2"/>
  <c r="C103" i="2"/>
  <c r="D114" i="4" s="1"/>
  <c r="A103" i="2"/>
  <c r="I102" i="2"/>
  <c r="H102" i="2"/>
  <c r="G102" i="2"/>
  <c r="F102" i="2"/>
  <c r="E102" i="2"/>
  <c r="D102" i="2"/>
  <c r="C102" i="2"/>
  <c r="A102" i="2"/>
  <c r="I101" i="2"/>
  <c r="B112" i="4" s="1"/>
  <c r="H101" i="2"/>
  <c r="G101" i="2"/>
  <c r="F101" i="2"/>
  <c r="E101" i="2"/>
  <c r="D101" i="2"/>
  <c r="C101" i="2"/>
  <c r="D112" i="4" s="1"/>
  <c r="A101" i="2"/>
  <c r="I100" i="2"/>
  <c r="B111" i="4" s="1"/>
  <c r="H100" i="2"/>
  <c r="G100" i="2"/>
  <c r="F100" i="2"/>
  <c r="E100" i="2"/>
  <c r="D100" i="2"/>
  <c r="C100" i="2"/>
  <c r="D111" i="4" s="1"/>
  <c r="A100" i="2"/>
  <c r="I99" i="2"/>
  <c r="H99" i="2"/>
  <c r="G99" i="2"/>
  <c r="F99" i="2"/>
  <c r="E99" i="2"/>
  <c r="D99" i="2"/>
  <c r="C99" i="2"/>
  <c r="D110" i="4" s="1"/>
  <c r="A99" i="2"/>
  <c r="I98" i="2"/>
  <c r="B109" i="4" s="1"/>
  <c r="H98" i="2"/>
  <c r="G98" i="2"/>
  <c r="F98" i="2"/>
  <c r="E98" i="2"/>
  <c r="D98" i="2"/>
  <c r="C98" i="2"/>
  <c r="A98" i="2"/>
  <c r="I97" i="2"/>
  <c r="B108" i="4" s="1"/>
  <c r="H97" i="2"/>
  <c r="G97" i="2"/>
  <c r="F97" i="2"/>
  <c r="E97" i="2"/>
  <c r="D97" i="2"/>
  <c r="C97" i="2"/>
  <c r="D108" i="4" s="1"/>
  <c r="A97" i="2"/>
  <c r="I96" i="2"/>
  <c r="H96" i="2"/>
  <c r="G96" i="2"/>
  <c r="F96" i="2"/>
  <c r="E96" i="2"/>
  <c r="D96" i="2"/>
  <c r="C96" i="2"/>
  <c r="A96" i="2"/>
  <c r="I95" i="2"/>
  <c r="B106" i="4" s="1"/>
  <c r="H95" i="2"/>
  <c r="G95" i="2"/>
  <c r="F95" i="2"/>
  <c r="E95" i="2"/>
  <c r="D95" i="2"/>
  <c r="C95" i="2"/>
  <c r="D106" i="4" s="1"/>
  <c r="A95" i="2"/>
  <c r="I94" i="2"/>
  <c r="H94" i="2"/>
  <c r="G94" i="2"/>
  <c r="F94" i="2"/>
  <c r="E94" i="2"/>
  <c r="D94" i="2"/>
  <c r="C94" i="2"/>
  <c r="A94" i="2"/>
  <c r="I93" i="2"/>
  <c r="H93" i="2"/>
  <c r="G93" i="2"/>
  <c r="F93" i="2"/>
  <c r="E93" i="2"/>
  <c r="D93" i="2"/>
  <c r="C93" i="2"/>
  <c r="D104" i="4" s="1"/>
  <c r="A93" i="2"/>
  <c r="I92" i="2"/>
  <c r="B103" i="4" s="1"/>
  <c r="H92" i="2"/>
  <c r="G92" i="2"/>
  <c r="F92" i="2"/>
  <c r="E92" i="2"/>
  <c r="D92" i="2"/>
  <c r="C92" i="2"/>
  <c r="A92" i="2"/>
  <c r="I91" i="2"/>
  <c r="H91" i="2"/>
  <c r="G91" i="2"/>
  <c r="F91" i="2"/>
  <c r="E91" i="2"/>
  <c r="D91" i="2"/>
  <c r="C91" i="2"/>
  <c r="D102" i="4" s="1"/>
  <c r="A91" i="2"/>
  <c r="I90" i="2"/>
  <c r="H90" i="2"/>
  <c r="G90" i="2"/>
  <c r="F90" i="2"/>
  <c r="E90" i="2"/>
  <c r="D90" i="2"/>
  <c r="C90" i="2"/>
  <c r="D101" i="4" s="1"/>
  <c r="A90" i="2"/>
  <c r="I89" i="2"/>
  <c r="H89" i="2"/>
  <c r="G89" i="2"/>
  <c r="F89" i="2"/>
  <c r="E89" i="2"/>
  <c r="D89" i="2"/>
  <c r="C89" i="2"/>
  <c r="D100" i="4" s="1"/>
  <c r="A89" i="2"/>
  <c r="I88" i="2"/>
  <c r="H88" i="2"/>
  <c r="G88" i="2"/>
  <c r="F88" i="2"/>
  <c r="E88" i="2"/>
  <c r="D88" i="2"/>
  <c r="C88" i="2"/>
  <c r="D99" i="4" s="1"/>
  <c r="A88" i="2"/>
  <c r="I87" i="2"/>
  <c r="B98" i="4" s="1"/>
  <c r="H87" i="2"/>
  <c r="G87" i="2"/>
  <c r="F87" i="2"/>
  <c r="E87" i="2"/>
  <c r="D87" i="2"/>
  <c r="C87" i="2"/>
  <c r="D98" i="4" s="1"/>
  <c r="A87" i="2"/>
  <c r="I86" i="2"/>
  <c r="H86" i="2"/>
  <c r="G86" i="2"/>
  <c r="F86" i="2"/>
  <c r="E86" i="2"/>
  <c r="D86" i="2"/>
  <c r="C86" i="2"/>
  <c r="A86" i="2"/>
  <c r="I85" i="2"/>
  <c r="B96" i="4" s="1"/>
  <c r="H85" i="2"/>
  <c r="G85" i="2"/>
  <c r="F85" i="2"/>
  <c r="E85" i="2"/>
  <c r="D85" i="2"/>
  <c r="C85" i="2"/>
  <c r="D96" i="4" s="1"/>
  <c r="A85" i="2"/>
  <c r="I84" i="2"/>
  <c r="B95" i="4" s="1"/>
  <c r="H84" i="2"/>
  <c r="G84" i="2"/>
  <c r="F84" i="2"/>
  <c r="E84" i="2"/>
  <c r="D84" i="2"/>
  <c r="C84" i="2"/>
  <c r="D95" i="4" s="1"/>
  <c r="A84" i="2"/>
  <c r="I83" i="2"/>
  <c r="H83" i="2"/>
  <c r="G83" i="2"/>
  <c r="F83" i="2"/>
  <c r="E83" i="2"/>
  <c r="D83" i="2"/>
  <c r="C83" i="2"/>
  <c r="D94" i="4" s="1"/>
  <c r="A83" i="2"/>
  <c r="I82" i="2"/>
  <c r="B93" i="4" s="1"/>
  <c r="H82" i="2"/>
  <c r="G82" i="2"/>
  <c r="F82" i="2"/>
  <c r="E82" i="2"/>
  <c r="D82" i="2"/>
  <c r="C82" i="2"/>
  <c r="A82" i="2"/>
  <c r="I81" i="2"/>
  <c r="B92" i="4" s="1"/>
  <c r="H81" i="2"/>
  <c r="G81" i="2"/>
  <c r="F81" i="2"/>
  <c r="E81" i="2"/>
  <c r="D81" i="2"/>
  <c r="C81" i="2"/>
  <c r="D92" i="4" s="1"/>
  <c r="A81" i="2"/>
  <c r="I80" i="2"/>
  <c r="H80" i="2"/>
  <c r="G80" i="2"/>
  <c r="F80" i="2"/>
  <c r="E80" i="2"/>
  <c r="D80" i="2"/>
  <c r="C80" i="2"/>
  <c r="A80" i="2"/>
  <c r="I79" i="2"/>
  <c r="B90" i="4" s="1"/>
  <c r="H79" i="2"/>
  <c r="G79" i="2"/>
  <c r="F79" i="2"/>
  <c r="E79" i="2"/>
  <c r="D79" i="2"/>
  <c r="C79" i="2"/>
  <c r="D90" i="4" s="1"/>
  <c r="A79" i="2"/>
  <c r="I78" i="2"/>
  <c r="H78" i="2"/>
  <c r="G78" i="2"/>
  <c r="F78" i="2"/>
  <c r="E78" i="2"/>
  <c r="D78" i="2"/>
  <c r="C78" i="2"/>
  <c r="A78" i="2"/>
  <c r="I77" i="2"/>
  <c r="H77" i="2"/>
  <c r="G77" i="2"/>
  <c r="F77" i="2"/>
  <c r="E77" i="2"/>
  <c r="D77" i="2"/>
  <c r="C77" i="2"/>
  <c r="D88" i="4" s="1"/>
  <c r="A77" i="2"/>
  <c r="I76" i="2"/>
  <c r="B87" i="4" s="1"/>
  <c r="H76" i="2"/>
  <c r="G76" i="2"/>
  <c r="F76" i="2"/>
  <c r="E76" i="2"/>
  <c r="D76" i="2"/>
  <c r="C76" i="2"/>
  <c r="A76" i="2"/>
  <c r="I75" i="2"/>
  <c r="B86" i="4" s="1"/>
  <c r="H75" i="2"/>
  <c r="G75" i="2"/>
  <c r="F75" i="2"/>
  <c r="E75" i="2"/>
  <c r="D75" i="2"/>
  <c r="C75" i="2"/>
  <c r="D86" i="4" s="1"/>
  <c r="A75" i="2"/>
  <c r="I74" i="2"/>
  <c r="H74" i="2"/>
  <c r="G74" i="2"/>
  <c r="F74" i="2"/>
  <c r="E74" i="2"/>
  <c r="D74" i="2"/>
  <c r="C74" i="2"/>
  <c r="D85" i="4" s="1"/>
  <c r="A74" i="2"/>
  <c r="I73" i="2"/>
  <c r="H73" i="2"/>
  <c r="G73" i="2"/>
  <c r="F73" i="2"/>
  <c r="E73" i="2"/>
  <c r="D73" i="2"/>
  <c r="C73" i="2"/>
  <c r="A73" i="2"/>
  <c r="I72" i="2"/>
  <c r="H72" i="2"/>
  <c r="G72" i="2"/>
  <c r="F72" i="2"/>
  <c r="E72" i="2"/>
  <c r="D72" i="2"/>
  <c r="C72" i="2"/>
  <c r="D83" i="4" s="1"/>
  <c r="A72" i="2"/>
  <c r="I71" i="2"/>
  <c r="B82" i="4" s="1"/>
  <c r="H71" i="2"/>
  <c r="G71" i="2"/>
  <c r="F71" i="2"/>
  <c r="E71" i="2"/>
  <c r="D71" i="2"/>
  <c r="C71" i="2"/>
  <c r="D82" i="4" s="1"/>
  <c r="A71" i="2"/>
  <c r="I70" i="2"/>
  <c r="H70" i="2"/>
  <c r="G70" i="2"/>
  <c r="F70" i="2"/>
  <c r="E70" i="2"/>
  <c r="D70" i="2"/>
  <c r="C70" i="2"/>
  <c r="A70" i="2"/>
  <c r="I69" i="2"/>
  <c r="B80" i="4" s="1"/>
  <c r="H69" i="2"/>
  <c r="G69" i="2"/>
  <c r="F69" i="2"/>
  <c r="E69" i="2"/>
  <c r="D69" i="2"/>
  <c r="C69" i="2"/>
  <c r="D80" i="4" s="1"/>
  <c r="A69" i="2"/>
  <c r="I68" i="2"/>
  <c r="B79" i="4" s="1"/>
  <c r="H68" i="2"/>
  <c r="G68" i="2"/>
  <c r="F68" i="2"/>
  <c r="E68" i="2"/>
  <c r="D68" i="2"/>
  <c r="C68" i="2"/>
  <c r="D79" i="4" s="1"/>
  <c r="A68" i="2"/>
  <c r="I67" i="2"/>
  <c r="H67" i="2"/>
  <c r="G67" i="2"/>
  <c r="F67" i="2"/>
  <c r="E67" i="2"/>
  <c r="D67" i="2"/>
  <c r="C67" i="2"/>
  <c r="A67" i="2"/>
  <c r="I66" i="2"/>
  <c r="B77" i="4" s="1"/>
  <c r="H66" i="2"/>
  <c r="G66" i="2"/>
  <c r="F66" i="2"/>
  <c r="E66" i="2"/>
  <c r="D66" i="2"/>
  <c r="C66" i="2"/>
  <c r="A66" i="2"/>
  <c r="I65" i="2"/>
  <c r="B76" i="4" s="1"/>
  <c r="H65" i="2"/>
  <c r="G65" i="2"/>
  <c r="F65" i="2"/>
  <c r="E65" i="2"/>
  <c r="D65" i="2"/>
  <c r="C65" i="2"/>
  <c r="D76" i="4" s="1"/>
  <c r="A65" i="2"/>
  <c r="I64" i="2"/>
  <c r="H64" i="2"/>
  <c r="G64" i="2"/>
  <c r="F64" i="2"/>
  <c r="E64" i="2"/>
  <c r="D64" i="2"/>
  <c r="C64" i="2"/>
  <c r="A64" i="2"/>
  <c r="I63" i="2"/>
  <c r="B74" i="4" s="1"/>
  <c r="H63" i="2"/>
  <c r="G63" i="2"/>
  <c r="F63" i="2"/>
  <c r="E63" i="2"/>
  <c r="D63" i="2"/>
  <c r="C63" i="2"/>
  <c r="D74" i="4" s="1"/>
  <c r="A63" i="2"/>
  <c r="I62" i="2"/>
  <c r="H62" i="2"/>
  <c r="G62" i="2"/>
  <c r="F62" i="2"/>
  <c r="E62" i="2"/>
  <c r="D62" i="2"/>
  <c r="C62" i="2"/>
  <c r="A62" i="2"/>
  <c r="I61" i="2"/>
  <c r="B72" i="4" s="1"/>
  <c r="H61" i="2"/>
  <c r="G61" i="2"/>
  <c r="F61" i="2"/>
  <c r="E61" i="2"/>
  <c r="D61" i="2"/>
  <c r="C61" i="2"/>
  <c r="D72" i="4" s="1"/>
  <c r="A61" i="2"/>
  <c r="I60" i="2"/>
  <c r="B71" i="4" s="1"/>
  <c r="H60" i="2"/>
  <c r="G60" i="2"/>
  <c r="F60" i="2"/>
  <c r="E60" i="2"/>
  <c r="D60" i="2"/>
  <c r="C60" i="2"/>
  <c r="A60" i="2"/>
  <c r="I59" i="2"/>
  <c r="B70" i="4" s="1"/>
  <c r="H59" i="2"/>
  <c r="G59" i="2"/>
  <c r="F59" i="2"/>
  <c r="E59" i="2"/>
  <c r="D59" i="2"/>
  <c r="C59" i="2"/>
  <c r="D70" i="4" s="1"/>
  <c r="A59" i="2"/>
  <c r="I58" i="2"/>
  <c r="H58" i="2"/>
  <c r="G58" i="2"/>
  <c r="F58" i="2"/>
  <c r="E58" i="2"/>
  <c r="D58" i="2"/>
  <c r="C58" i="2"/>
  <c r="D69" i="4" s="1"/>
  <c r="A58" i="2"/>
  <c r="I57" i="2"/>
  <c r="H57" i="2"/>
  <c r="G57" i="2"/>
  <c r="F57" i="2"/>
  <c r="E57" i="2"/>
  <c r="D57" i="2"/>
  <c r="C57" i="2"/>
  <c r="D68" i="4" s="1"/>
  <c r="A57" i="2"/>
  <c r="I56" i="2"/>
  <c r="H56" i="2"/>
  <c r="G56" i="2"/>
  <c r="F56" i="2"/>
  <c r="E56" i="2"/>
  <c r="D56" i="2"/>
  <c r="C56" i="2"/>
  <c r="D67" i="4" s="1"/>
  <c r="A56" i="2"/>
  <c r="I55" i="2"/>
  <c r="B66" i="4" s="1"/>
  <c r="H55" i="2"/>
  <c r="G55" i="2"/>
  <c r="F55" i="2"/>
  <c r="E55" i="2"/>
  <c r="D55" i="2"/>
  <c r="C55" i="2"/>
  <c r="D66" i="4" s="1"/>
  <c r="A55" i="2"/>
  <c r="I54" i="2"/>
  <c r="H54" i="2"/>
  <c r="G54" i="2"/>
  <c r="F54" i="2"/>
  <c r="E54" i="2"/>
  <c r="D54" i="2"/>
  <c r="C54" i="2"/>
  <c r="A54" i="2"/>
  <c r="I53" i="2"/>
  <c r="B64" i="4" s="1"/>
  <c r="H53" i="2"/>
  <c r="G53" i="2"/>
  <c r="F53" i="2"/>
  <c r="E53" i="2"/>
  <c r="D53" i="2"/>
  <c r="C53" i="2"/>
  <c r="D64" i="4" s="1"/>
  <c r="A53" i="2"/>
  <c r="I52" i="2"/>
  <c r="B63" i="4" s="1"/>
  <c r="H52" i="2"/>
  <c r="G52" i="2"/>
  <c r="F52" i="2"/>
  <c r="E52" i="2"/>
  <c r="D52" i="2"/>
  <c r="C52" i="2"/>
  <c r="D63" i="4" s="1"/>
  <c r="A52" i="2"/>
  <c r="I51" i="2"/>
  <c r="B62" i="4" s="1"/>
  <c r="H51" i="2"/>
  <c r="G51" i="2"/>
  <c r="F51" i="2"/>
  <c r="E51" i="2"/>
  <c r="D51" i="2"/>
  <c r="C51" i="2"/>
  <c r="D62" i="4" s="1"/>
  <c r="A51" i="2"/>
  <c r="I50" i="2"/>
  <c r="B61" i="4" s="1"/>
  <c r="H50" i="2"/>
  <c r="G50" i="2"/>
  <c r="F50" i="2"/>
  <c r="E50" i="2"/>
  <c r="D50" i="2"/>
  <c r="C50" i="2"/>
  <c r="A50" i="2"/>
  <c r="I49" i="2"/>
  <c r="B60" i="4" s="1"/>
  <c r="H49" i="2"/>
  <c r="G49" i="2"/>
  <c r="F49" i="2"/>
  <c r="E49" i="2"/>
  <c r="D49" i="2"/>
  <c r="C49" i="2"/>
  <c r="D60" i="4" s="1"/>
  <c r="A49" i="2"/>
  <c r="I48" i="2"/>
  <c r="H48" i="2"/>
  <c r="G48" i="2"/>
  <c r="F48" i="2"/>
  <c r="E48" i="2"/>
  <c r="D48" i="2"/>
  <c r="C48" i="2"/>
  <c r="A48" i="2"/>
  <c r="I47" i="2"/>
  <c r="H47" i="2"/>
  <c r="G47" i="2"/>
  <c r="F47" i="2"/>
  <c r="E47" i="2"/>
  <c r="D47" i="2"/>
  <c r="C47" i="2"/>
  <c r="D58" i="4" s="1"/>
  <c r="A47" i="2"/>
  <c r="I46" i="2"/>
  <c r="H46" i="2"/>
  <c r="G46" i="2"/>
  <c r="F46" i="2"/>
  <c r="E46" i="2"/>
  <c r="D46" i="2"/>
  <c r="C46" i="2"/>
  <c r="A46" i="2"/>
  <c r="I45" i="2"/>
  <c r="H45" i="2"/>
  <c r="G45" i="2"/>
  <c r="F45" i="2"/>
  <c r="E45" i="2"/>
  <c r="D45" i="2"/>
  <c r="C45" i="2"/>
  <c r="D56" i="4" s="1"/>
  <c r="A45" i="2"/>
  <c r="I44" i="2"/>
  <c r="B55" i="4" s="1"/>
  <c r="H44" i="2"/>
  <c r="G44" i="2"/>
  <c r="F44" i="2"/>
  <c r="E44" i="2"/>
  <c r="D44" i="2"/>
  <c r="C44" i="2"/>
  <c r="A44" i="2"/>
  <c r="I43" i="2"/>
  <c r="H43" i="2"/>
  <c r="G43" i="2"/>
  <c r="F43" i="2"/>
  <c r="E43" i="2"/>
  <c r="D43" i="2"/>
  <c r="C43" i="2"/>
  <c r="D54" i="4" s="1"/>
  <c r="A43" i="2"/>
  <c r="I42" i="2"/>
  <c r="H42" i="2"/>
  <c r="G42" i="2"/>
  <c r="F42" i="2"/>
  <c r="E42" i="2"/>
  <c r="D42" i="2"/>
  <c r="C42" i="2"/>
  <c r="D53" i="4" s="1"/>
  <c r="A42" i="2"/>
  <c r="I41" i="2"/>
  <c r="B52" i="4" s="1"/>
  <c r="H41" i="2"/>
  <c r="G41" i="2"/>
  <c r="F41" i="2"/>
  <c r="E41" i="2"/>
  <c r="D41" i="2"/>
  <c r="C41" i="2"/>
  <c r="D52" i="4" s="1"/>
  <c r="A41" i="2"/>
  <c r="I40" i="2"/>
  <c r="H40" i="2"/>
  <c r="G40" i="2"/>
  <c r="F40" i="2"/>
  <c r="E40" i="2"/>
  <c r="D40" i="2"/>
  <c r="C40" i="2"/>
  <c r="D51" i="4" s="1"/>
  <c r="A40" i="2"/>
  <c r="I39" i="2"/>
  <c r="B50" i="4" s="1"/>
  <c r="H39" i="2"/>
  <c r="G39" i="2"/>
  <c r="F39" i="2"/>
  <c r="E39" i="2"/>
  <c r="D39" i="2"/>
  <c r="C39" i="2"/>
  <c r="D50" i="4" s="1"/>
  <c r="A39" i="2"/>
  <c r="I38" i="2"/>
  <c r="H38" i="2"/>
  <c r="G38" i="2"/>
  <c r="F38" i="2"/>
  <c r="E38" i="2"/>
  <c r="D38" i="2"/>
  <c r="C38" i="2"/>
  <c r="A38" i="2"/>
  <c r="I37" i="2"/>
  <c r="B48" i="4" s="1"/>
  <c r="H37" i="2"/>
  <c r="G37" i="2"/>
  <c r="F37" i="2"/>
  <c r="E37" i="2"/>
  <c r="D37" i="2"/>
  <c r="C37" i="2"/>
  <c r="D48" i="4" s="1"/>
  <c r="A37" i="2"/>
  <c r="I36" i="2"/>
  <c r="B47" i="4" s="1"/>
  <c r="H36" i="2"/>
  <c r="G36" i="2"/>
  <c r="F36" i="2"/>
  <c r="E36" i="2"/>
  <c r="D36" i="2"/>
  <c r="C36" i="2"/>
  <c r="D47" i="4" s="1"/>
  <c r="A36" i="2"/>
  <c r="I35" i="2"/>
  <c r="H35" i="2"/>
  <c r="G35" i="2"/>
  <c r="F35" i="2"/>
  <c r="E35" i="2"/>
  <c r="D35" i="2"/>
  <c r="C35" i="2"/>
  <c r="D46" i="4" s="1"/>
  <c r="A35" i="2"/>
  <c r="I34" i="2"/>
  <c r="B45" i="4" s="1"/>
  <c r="H34" i="2"/>
  <c r="G34" i="2"/>
  <c r="F34" i="2"/>
  <c r="E34" i="2"/>
  <c r="D34" i="2"/>
  <c r="C34" i="2"/>
  <c r="A34" i="2"/>
  <c r="I33" i="2"/>
  <c r="B44" i="4" s="1"/>
  <c r="H33" i="2"/>
  <c r="G33" i="2"/>
  <c r="F33" i="2"/>
  <c r="E33" i="2"/>
  <c r="D33" i="2"/>
  <c r="C33" i="2"/>
  <c r="D44" i="4" s="1"/>
  <c r="A33" i="2"/>
  <c r="I32" i="2"/>
  <c r="H32" i="2"/>
  <c r="G32" i="2"/>
  <c r="F32" i="2"/>
  <c r="E32" i="2"/>
  <c r="D32" i="2"/>
  <c r="C32" i="2"/>
  <c r="A32" i="2"/>
  <c r="I31" i="2"/>
  <c r="H31" i="2"/>
  <c r="G31" i="2"/>
  <c r="F31" i="2"/>
  <c r="E31" i="2"/>
  <c r="D31" i="2"/>
  <c r="C31" i="2"/>
  <c r="D42" i="4" s="1"/>
  <c r="A31" i="2"/>
  <c r="I30" i="2"/>
  <c r="H30" i="2"/>
  <c r="G30" i="2"/>
  <c r="F30" i="2"/>
  <c r="E30" i="2"/>
  <c r="D30" i="2"/>
  <c r="C30" i="2"/>
  <c r="A30" i="2"/>
  <c r="I29" i="2"/>
  <c r="H29" i="2"/>
  <c r="G29" i="2"/>
  <c r="F29" i="2"/>
  <c r="E29" i="2"/>
  <c r="D29" i="2"/>
  <c r="C29" i="2"/>
  <c r="D40" i="4" s="1"/>
  <c r="A29" i="2"/>
  <c r="I28" i="2"/>
  <c r="B39" i="4" s="1"/>
  <c r="H28" i="2"/>
  <c r="G28" i="2"/>
  <c r="F28" i="2"/>
  <c r="E28" i="2"/>
  <c r="D28" i="2"/>
  <c r="C28" i="2"/>
  <c r="A28" i="2"/>
  <c r="I27" i="2"/>
  <c r="H27" i="2"/>
  <c r="G27" i="2"/>
  <c r="F27" i="2"/>
  <c r="E27" i="2"/>
  <c r="D27" i="2"/>
  <c r="C27" i="2"/>
  <c r="D38" i="4" s="1"/>
  <c r="A27" i="2"/>
  <c r="I26" i="2"/>
  <c r="H26" i="2"/>
  <c r="G26" i="2"/>
  <c r="F26" i="2"/>
  <c r="E26" i="2"/>
  <c r="D26" i="2"/>
  <c r="C26" i="2"/>
  <c r="D37" i="4" s="1"/>
  <c r="A26" i="2"/>
  <c r="I25" i="2"/>
  <c r="H25" i="2"/>
  <c r="G25" i="2"/>
  <c r="F25" i="2"/>
  <c r="E25" i="2"/>
  <c r="C26" i="5" s="1"/>
  <c r="D25" i="2"/>
  <c r="C25" i="2"/>
  <c r="A25" i="2"/>
  <c r="I24" i="2"/>
  <c r="H24" i="2"/>
  <c r="G24" i="2"/>
  <c r="F24" i="2"/>
  <c r="E24" i="2"/>
  <c r="D24" i="2"/>
  <c r="C24" i="2"/>
  <c r="B25" i="5" s="1"/>
  <c r="A24" i="2"/>
  <c r="I23" i="2"/>
  <c r="B34" i="4" s="1"/>
  <c r="H23" i="2"/>
  <c r="G23" i="2"/>
  <c r="F23" i="2"/>
  <c r="E23" i="2"/>
  <c r="C24" i="5" s="1"/>
  <c r="D23" i="2"/>
  <c r="C23" i="2"/>
  <c r="A23" i="2"/>
  <c r="I22" i="2"/>
  <c r="H22" i="2"/>
  <c r="G22" i="2"/>
  <c r="F22" i="2"/>
  <c r="E22" i="2"/>
  <c r="D22" i="2"/>
  <c r="C22" i="2"/>
  <c r="A22" i="2"/>
  <c r="I21" i="2"/>
  <c r="B32" i="4" s="1"/>
  <c r="H21" i="2"/>
  <c r="G21" i="2"/>
  <c r="F21" i="2"/>
  <c r="E21" i="2"/>
  <c r="C22" i="5" s="1"/>
  <c r="D21" i="2"/>
  <c r="C21" i="2"/>
  <c r="A21" i="2"/>
  <c r="I20" i="2"/>
  <c r="B31" i="4" s="1"/>
  <c r="H20" i="2"/>
  <c r="G20" i="2"/>
  <c r="F20" i="2"/>
  <c r="E20" i="2"/>
  <c r="C21" i="5" s="1"/>
  <c r="D20" i="2"/>
  <c r="C20" i="2"/>
  <c r="D31" i="4" s="1"/>
  <c r="A20" i="2"/>
  <c r="I19" i="2"/>
  <c r="H19" i="2"/>
  <c r="G19" i="2"/>
  <c r="F19" i="2"/>
  <c r="E19" i="2"/>
  <c r="D19" i="2"/>
  <c r="C19" i="2"/>
  <c r="D30" i="4" s="1"/>
  <c r="A19" i="2"/>
  <c r="I18" i="2"/>
  <c r="B29" i="4" s="1"/>
  <c r="H18" i="2"/>
  <c r="G18" i="2"/>
  <c r="F18" i="2"/>
  <c r="E18" i="2"/>
  <c r="C19" i="5" s="1"/>
  <c r="D18" i="2"/>
  <c r="C18" i="2"/>
  <c r="A18" i="2"/>
  <c r="I17" i="2"/>
  <c r="B28" i="4" s="1"/>
  <c r="H17" i="2"/>
  <c r="G17" i="2"/>
  <c r="F17" i="2"/>
  <c r="E17" i="2"/>
  <c r="C18" i="5" s="1"/>
  <c r="D17" i="2"/>
  <c r="C17" i="2"/>
  <c r="A17" i="2"/>
  <c r="I16" i="2"/>
  <c r="H16" i="2"/>
  <c r="G16" i="2"/>
  <c r="F16" i="2"/>
  <c r="E16" i="2"/>
  <c r="D16" i="2"/>
  <c r="C16" i="2"/>
  <c r="B17" i="5" s="1"/>
  <c r="A16" i="2"/>
  <c r="I15" i="2"/>
  <c r="H15" i="2"/>
  <c r="G15" i="2"/>
  <c r="F15" i="2"/>
  <c r="E15" i="2"/>
  <c r="C16" i="5" s="1"/>
  <c r="D15" i="2"/>
  <c r="C15" i="2"/>
  <c r="A15" i="2"/>
  <c r="I14" i="2"/>
  <c r="H14" i="2"/>
  <c r="G14" i="2"/>
  <c r="F14" i="2"/>
  <c r="E14" i="2"/>
  <c r="D14" i="2"/>
  <c r="C14" i="2"/>
  <c r="A14" i="2"/>
  <c r="I13" i="2"/>
  <c r="H13" i="2"/>
  <c r="D45" i="5" s="1"/>
  <c r="G13" i="2"/>
  <c r="F13" i="2"/>
  <c r="A45" i="5" s="1"/>
  <c r="E13" i="2"/>
  <c r="C14" i="5" s="1"/>
  <c r="D13" i="2"/>
  <c r="C13" i="2"/>
  <c r="A13" i="2"/>
  <c r="I12" i="2"/>
  <c r="B23" i="4" s="1"/>
  <c r="H12" i="2"/>
  <c r="G12" i="2"/>
  <c r="F12" i="2"/>
  <c r="A44" i="5" s="1"/>
  <c r="E12" i="2"/>
  <c r="C13" i="5" s="1"/>
  <c r="D12" i="2"/>
  <c r="C12" i="2"/>
  <c r="B13" i="5" s="1"/>
  <c r="A12" i="2"/>
  <c r="I11" i="2"/>
  <c r="H11" i="2"/>
  <c r="D43" i="5" s="1"/>
  <c r="G11" i="2"/>
  <c r="F11" i="2"/>
  <c r="E11" i="2"/>
  <c r="D11" i="2"/>
  <c r="C11" i="2"/>
  <c r="A11" i="2"/>
  <c r="I10" i="2"/>
  <c r="H10" i="2"/>
  <c r="G10" i="2"/>
  <c r="F10" i="2"/>
  <c r="A42" i="5" s="1"/>
  <c r="E10" i="2"/>
  <c r="C11" i="5" s="1"/>
  <c r="D10" i="2"/>
  <c r="C10" i="2"/>
  <c r="D21" i="4" s="1"/>
  <c r="A10" i="2"/>
  <c r="I9" i="2"/>
  <c r="H9" i="2"/>
  <c r="G9" i="2"/>
  <c r="F9" i="2"/>
  <c r="A41" i="5" s="1"/>
  <c r="E9" i="2"/>
  <c r="C10" i="5" s="1"/>
  <c r="D9" i="2"/>
  <c r="C9" i="2"/>
  <c r="A9" i="2"/>
  <c r="I8" i="2"/>
  <c r="H8" i="2"/>
  <c r="G8" i="2"/>
  <c r="F8" i="2"/>
  <c r="A40" i="5" s="1"/>
  <c r="E8" i="2"/>
  <c r="D8" i="2"/>
  <c r="C8" i="2"/>
  <c r="B9" i="5" s="1"/>
  <c r="A8" i="2"/>
  <c r="I7" i="2"/>
  <c r="B18" i="4" s="1"/>
  <c r="H7" i="2"/>
  <c r="G7" i="2"/>
  <c r="F7" i="2"/>
  <c r="E7" i="2"/>
  <c r="D7" i="2"/>
  <c r="A7" i="2"/>
  <c r="I6" i="2"/>
  <c r="H6" i="2"/>
  <c r="G6" i="2"/>
  <c r="F6" i="2"/>
  <c r="E6" i="2"/>
  <c r="G8" i="3" s="1"/>
  <c r="D6" i="2"/>
  <c r="E7" i="3" s="1"/>
  <c r="A6" i="2"/>
  <c r="B7" i="5" l="1"/>
  <c r="E57" i="4"/>
  <c r="F57" i="4" s="1"/>
  <c r="G57" i="4" s="1"/>
  <c r="D7" i="6"/>
  <c r="E42" i="4"/>
  <c r="F42" i="4" s="1"/>
  <c r="G42" i="4" s="1"/>
  <c r="D17" i="6"/>
  <c r="B145" i="2"/>
  <c r="B38" i="5" a="1"/>
  <c r="B38" i="5" s="1"/>
  <c r="B12" i="5"/>
  <c r="D22" i="4"/>
  <c r="D19" i="3"/>
  <c r="E29" i="3"/>
  <c r="G29" i="3" s="1"/>
  <c r="E8" i="5"/>
  <c r="E17" i="5"/>
  <c r="E89" i="4"/>
  <c r="F89" i="4" s="1"/>
  <c r="G89" i="4" s="1"/>
  <c r="E90" i="4"/>
  <c r="E25" i="5"/>
  <c r="D34" i="4"/>
  <c r="B24" i="5"/>
  <c r="F152" i="2"/>
  <c r="F153" i="2" s="1"/>
  <c r="E16" i="5"/>
  <c r="E139" i="4"/>
  <c r="F139" i="4" s="1"/>
  <c r="G139" i="4" s="1"/>
  <c r="E20" i="5"/>
  <c r="E47" i="4"/>
  <c r="F47" i="4" s="1"/>
  <c r="G47" i="4" s="1"/>
  <c r="E9" i="5"/>
  <c r="D18" i="4"/>
  <c r="D19" i="6"/>
  <c r="D21" i="6" s="1"/>
  <c r="E25" i="4"/>
  <c r="F25" i="4" s="1"/>
  <c r="G25" i="4" s="1"/>
  <c r="B136" i="2"/>
  <c r="B138" i="2" s="1"/>
  <c r="B11" i="3"/>
  <c r="E20" i="4"/>
  <c r="E60" i="4"/>
  <c r="F60" i="4" s="1"/>
  <c r="G60" i="4" s="1"/>
  <c r="E92" i="4"/>
  <c r="F92" i="4" s="1"/>
  <c r="G92" i="4" s="1"/>
  <c r="E121" i="4"/>
  <c r="F121" i="4" s="1"/>
  <c r="G121" i="4" s="1"/>
  <c r="E30" i="4"/>
  <c r="F30" i="4" s="1"/>
  <c r="G30" i="4" s="1"/>
  <c r="E65" i="4"/>
  <c r="F65" i="4" s="1"/>
  <c r="G65" i="4" s="1"/>
  <c r="E75" i="4"/>
  <c r="F75" i="4" s="1"/>
  <c r="G75" i="4" s="1"/>
  <c r="B8" i="5"/>
  <c r="E138" i="4"/>
  <c r="F138" i="4" s="1"/>
  <c r="G138" i="4" s="1"/>
  <c r="E132" i="4"/>
  <c r="F132" i="4" s="1"/>
  <c r="G132" i="4" s="1"/>
  <c r="E126" i="4"/>
  <c r="F126" i="4" s="1"/>
  <c r="G126" i="4" s="1"/>
  <c r="E71" i="4"/>
  <c r="F71" i="4" s="1"/>
  <c r="G71" i="4" s="1"/>
  <c r="E87" i="4"/>
  <c r="F87" i="4" s="1"/>
  <c r="G87" i="4" s="1"/>
  <c r="E55" i="4"/>
  <c r="F55" i="4" s="1"/>
  <c r="G55" i="4" s="1"/>
  <c r="D6" i="3"/>
  <c r="C15" i="3" s="1"/>
  <c r="C25" i="3" s="1"/>
  <c r="E25" i="3" s="1"/>
  <c r="E81" i="4"/>
  <c r="F81" i="4" s="1"/>
  <c r="G81" i="4" s="1"/>
  <c r="C6" i="3"/>
  <c r="E124" i="4"/>
  <c r="F124" i="4" s="1"/>
  <c r="G124" i="4" s="1"/>
  <c r="E135" i="4"/>
  <c r="F135" i="4" s="1"/>
  <c r="G135" i="4" s="1"/>
  <c r="E48" i="4"/>
  <c r="F48" i="4" s="1"/>
  <c r="G48" i="4" s="1"/>
  <c r="E68" i="4"/>
  <c r="F68" i="4" s="1"/>
  <c r="G68" i="4" s="1"/>
  <c r="B9" i="3"/>
  <c r="E79" i="4"/>
  <c r="F79" i="4" s="1"/>
  <c r="G79" i="4" s="1"/>
  <c r="E17" i="4"/>
  <c r="F17" i="4" s="1"/>
  <c r="G17" i="4" s="1"/>
  <c r="E140" i="4"/>
  <c r="F140" i="4" s="1"/>
  <c r="G140" i="4" s="1"/>
  <c r="E73" i="4"/>
  <c r="F73" i="4" s="1"/>
  <c r="G73" i="4" s="1"/>
  <c r="E58" i="4"/>
  <c r="F58" i="4" s="1"/>
  <c r="G58" i="4" s="1"/>
  <c r="E95" i="4"/>
  <c r="F95" i="4" s="1"/>
  <c r="G95" i="4" s="1"/>
  <c r="E107" i="4"/>
  <c r="F107" i="4" s="1"/>
  <c r="G107" i="4" s="1"/>
  <c r="E129" i="4"/>
  <c r="F129" i="4" s="1"/>
  <c r="G129" i="4" s="1"/>
  <c r="E74" i="4"/>
  <c r="F74" i="4" s="1"/>
  <c r="G74" i="4" s="1"/>
  <c r="E27" i="4"/>
  <c r="F27" i="4" s="1"/>
  <c r="G27" i="4" s="1"/>
  <c r="E123" i="4"/>
  <c r="F123" i="4" s="1"/>
  <c r="G123" i="4" s="1"/>
  <c r="E63" i="4"/>
  <c r="F63" i="4" s="1"/>
  <c r="G63" i="4" s="1"/>
  <c r="B18" i="5"/>
  <c r="D28" i="4"/>
  <c r="F90" i="4"/>
  <c r="G90" i="4" s="1"/>
  <c r="E14" i="5"/>
  <c r="E22" i="5"/>
  <c r="E13" i="5"/>
  <c r="E62" i="4"/>
  <c r="F62" i="4" s="1"/>
  <c r="G62" i="4" s="1"/>
  <c r="E78" i="4"/>
  <c r="F78" i="4" s="1"/>
  <c r="G78" i="4" s="1"/>
  <c r="E106" i="4"/>
  <c r="F106" i="4" s="1"/>
  <c r="G106" i="4" s="1"/>
  <c r="E12" i="5"/>
  <c r="B14" i="5"/>
  <c r="D24" i="4"/>
  <c r="E111" i="4"/>
  <c r="F111" i="4" s="1"/>
  <c r="G111" i="4" s="1"/>
  <c r="B8" i="3"/>
  <c r="B10" i="5"/>
  <c r="D20" i="4"/>
  <c r="D26" i="4"/>
  <c r="B16" i="5"/>
  <c r="B22" i="5"/>
  <c r="D32" i="4"/>
  <c r="D20" i="6"/>
  <c r="B26" i="5"/>
  <c r="D36" i="4"/>
  <c r="E32" i="4"/>
  <c r="E24" i="5"/>
  <c r="E84" i="4"/>
  <c r="F84" i="4" s="1"/>
  <c r="G84" i="4" s="1"/>
  <c r="B20" i="5"/>
  <c r="E100" i="4"/>
  <c r="F100" i="4" s="1"/>
  <c r="G100" i="4" s="1"/>
  <c r="E11" i="4"/>
  <c r="E21" i="5"/>
  <c r="B10" i="4"/>
  <c r="E52" i="4"/>
  <c r="F52" i="4" s="1"/>
  <c r="G52" i="4" s="1"/>
  <c r="E108" i="4"/>
  <c r="F108" i="4" s="1"/>
  <c r="G108" i="4" s="1"/>
  <c r="E94" i="4"/>
  <c r="F94" i="4" s="1"/>
  <c r="G94" i="4" s="1"/>
  <c r="E15" i="5"/>
  <c r="E42" i="5"/>
  <c r="E136" i="2"/>
  <c r="E138" i="2" s="1"/>
  <c r="E152" i="2" s="1"/>
  <c r="E153" i="2" s="1"/>
  <c r="E10" i="3"/>
  <c r="F136" i="2"/>
  <c r="D10" i="3"/>
  <c r="C10" i="3"/>
  <c r="E11" i="3"/>
  <c r="D11" i="3"/>
  <c r="D9" i="6"/>
  <c r="D10" i="6" s="1"/>
  <c r="E11" i="5"/>
  <c r="E19" i="5"/>
  <c r="E23" i="4"/>
  <c r="F23" i="4" s="1"/>
  <c r="G23" i="4" s="1"/>
  <c r="E33" i="4"/>
  <c r="F33" i="4" s="1"/>
  <c r="G33" i="4" s="1"/>
  <c r="E64" i="4"/>
  <c r="F64" i="4" s="1"/>
  <c r="G64" i="4" s="1"/>
  <c r="E119" i="4"/>
  <c r="F119" i="4" s="1"/>
  <c r="G119" i="4" s="1"/>
  <c r="G9" i="3"/>
  <c r="E91" i="4"/>
  <c r="F91" i="4" s="1"/>
  <c r="G91" i="4" s="1"/>
  <c r="C9" i="3"/>
  <c r="D9" i="3"/>
  <c r="F9" i="3"/>
  <c r="E28" i="4"/>
  <c r="E43" i="4"/>
  <c r="F43" i="4" s="1"/>
  <c r="G43" i="4" s="1"/>
  <c r="E113" i="4"/>
  <c r="F113" i="4" s="1"/>
  <c r="G113" i="4" s="1"/>
  <c r="E141" i="4"/>
  <c r="F141" i="4" s="1"/>
  <c r="G141" i="4" s="1"/>
  <c r="E125" i="4"/>
  <c r="F125" i="4" s="1"/>
  <c r="G125" i="4" s="1"/>
  <c r="E109" i="4"/>
  <c r="F109" i="4" s="1"/>
  <c r="G109" i="4" s="1"/>
  <c r="E93" i="4"/>
  <c r="F93" i="4" s="1"/>
  <c r="G93" i="4" s="1"/>
  <c r="E77" i="4"/>
  <c r="F77" i="4" s="1"/>
  <c r="G77" i="4" s="1"/>
  <c r="E61" i="4"/>
  <c r="F61" i="4" s="1"/>
  <c r="G61" i="4" s="1"/>
  <c r="E45" i="4"/>
  <c r="F45" i="4" s="1"/>
  <c r="G45" i="4" s="1"/>
  <c r="E29" i="4"/>
  <c r="F29" i="4" s="1"/>
  <c r="G29" i="4" s="1"/>
  <c r="E128" i="4"/>
  <c r="F128" i="4" s="1"/>
  <c r="G128" i="4" s="1"/>
  <c r="E112" i="4"/>
  <c r="F112" i="4" s="1"/>
  <c r="G112" i="4" s="1"/>
  <c r="E96" i="4"/>
  <c r="F96" i="4" s="1"/>
  <c r="G96" i="4" s="1"/>
  <c r="E80" i="4"/>
  <c r="F80" i="4" s="1"/>
  <c r="G80" i="4" s="1"/>
  <c r="E131" i="4"/>
  <c r="F131" i="4" s="1"/>
  <c r="G131" i="4" s="1"/>
  <c r="E115" i="4"/>
  <c r="F115" i="4" s="1"/>
  <c r="G115" i="4" s="1"/>
  <c r="E99" i="4"/>
  <c r="F99" i="4" s="1"/>
  <c r="G99" i="4" s="1"/>
  <c r="E83" i="4"/>
  <c r="F83" i="4" s="1"/>
  <c r="G83" i="4" s="1"/>
  <c r="E67" i="4"/>
  <c r="F67" i="4" s="1"/>
  <c r="G67" i="4" s="1"/>
  <c r="E51" i="4"/>
  <c r="F51" i="4" s="1"/>
  <c r="G51" i="4" s="1"/>
  <c r="E35" i="4"/>
  <c r="E19" i="4"/>
  <c r="E134" i="4"/>
  <c r="F134" i="4" s="1"/>
  <c r="G134" i="4" s="1"/>
  <c r="E118" i="4"/>
  <c r="F118" i="4" s="1"/>
  <c r="G118" i="4" s="1"/>
  <c r="E102" i="4"/>
  <c r="F102" i="4" s="1"/>
  <c r="G102" i="4" s="1"/>
  <c r="E86" i="4"/>
  <c r="F86" i="4" s="1"/>
  <c r="G86" i="4" s="1"/>
  <c r="E70" i="4"/>
  <c r="F70" i="4" s="1"/>
  <c r="G70" i="4" s="1"/>
  <c r="E54" i="4"/>
  <c r="F54" i="4" s="1"/>
  <c r="G54" i="4" s="1"/>
  <c r="E38" i="4"/>
  <c r="F38" i="4" s="1"/>
  <c r="G38" i="4" s="1"/>
  <c r="E22" i="4"/>
  <c r="E130" i="4"/>
  <c r="F130" i="4" s="1"/>
  <c r="G130" i="4" s="1"/>
  <c r="E114" i="4"/>
  <c r="F114" i="4" s="1"/>
  <c r="G114" i="4" s="1"/>
  <c r="E98" i="4"/>
  <c r="F98" i="4" s="1"/>
  <c r="G98" i="4" s="1"/>
  <c r="E82" i="4"/>
  <c r="F82" i="4" s="1"/>
  <c r="G82" i="4" s="1"/>
  <c r="E66" i="4"/>
  <c r="F66" i="4" s="1"/>
  <c r="G66" i="4" s="1"/>
  <c r="E50" i="4"/>
  <c r="F50" i="4" s="1"/>
  <c r="G50" i="4" s="1"/>
  <c r="E34" i="4"/>
  <c r="E18" i="4"/>
  <c r="E133" i="4"/>
  <c r="F133" i="4" s="1"/>
  <c r="G133" i="4" s="1"/>
  <c r="E117" i="4"/>
  <c r="F117" i="4" s="1"/>
  <c r="G117" i="4" s="1"/>
  <c r="E101" i="4"/>
  <c r="F101" i="4" s="1"/>
  <c r="G101" i="4" s="1"/>
  <c r="E85" i="4"/>
  <c r="F85" i="4" s="1"/>
  <c r="G85" i="4" s="1"/>
  <c r="E69" i="4"/>
  <c r="F69" i="4" s="1"/>
  <c r="G69" i="4" s="1"/>
  <c r="E53" i="4"/>
  <c r="F53" i="4" s="1"/>
  <c r="G53" i="4" s="1"/>
  <c r="E37" i="4"/>
  <c r="F37" i="4" s="1"/>
  <c r="G37" i="4" s="1"/>
  <c r="E21" i="4"/>
  <c r="F21" i="4" s="1"/>
  <c r="G21" i="4" s="1"/>
  <c r="E136" i="4"/>
  <c r="F136" i="4" s="1"/>
  <c r="G136" i="4" s="1"/>
  <c r="E120" i="4"/>
  <c r="F120" i="4" s="1"/>
  <c r="G120" i="4" s="1"/>
  <c r="E104" i="4"/>
  <c r="F104" i="4" s="1"/>
  <c r="G104" i="4" s="1"/>
  <c r="E88" i="4"/>
  <c r="F88" i="4" s="1"/>
  <c r="G88" i="4" s="1"/>
  <c r="E72" i="4"/>
  <c r="F72" i="4" s="1"/>
  <c r="G72" i="4" s="1"/>
  <c r="E56" i="4"/>
  <c r="F56" i="4" s="1"/>
  <c r="G56" i="4" s="1"/>
  <c r="E40" i="4"/>
  <c r="F40" i="4" s="1"/>
  <c r="G40" i="4" s="1"/>
  <c r="E24" i="4"/>
  <c r="C152" i="2"/>
  <c r="C153" i="2" s="1"/>
  <c r="B10" i="3"/>
  <c r="E39" i="4"/>
  <c r="F39" i="4" s="1"/>
  <c r="G39" i="4" s="1"/>
  <c r="E44" i="4"/>
  <c r="F44" i="4" s="1"/>
  <c r="G44" i="4" s="1"/>
  <c r="E49" i="4"/>
  <c r="F49" i="4" s="1"/>
  <c r="G49" i="4" s="1"/>
  <c r="E59" i="4"/>
  <c r="F59" i="4" s="1"/>
  <c r="G59" i="4" s="1"/>
  <c r="E97" i="4"/>
  <c r="F97" i="4" s="1"/>
  <c r="G97" i="4" s="1"/>
  <c r="E103" i="4"/>
  <c r="F103" i="4" s="1"/>
  <c r="G103" i="4" s="1"/>
  <c r="E18" i="5"/>
  <c r="C11" i="3"/>
  <c r="E76" i="4"/>
  <c r="F76" i="4" s="1"/>
  <c r="G76" i="4" s="1"/>
  <c r="E137" i="4"/>
  <c r="F137" i="4" s="1"/>
  <c r="G137" i="4" s="1"/>
  <c r="E23" i="5"/>
  <c r="E6" i="3"/>
  <c r="C16" i="3" s="1"/>
  <c r="C26" i="3" s="1"/>
  <c r="E26" i="3" s="1"/>
  <c r="G26" i="3" s="1"/>
  <c r="F11" i="3"/>
  <c r="E28" i="3"/>
  <c r="F6" i="3"/>
  <c r="E110" i="4"/>
  <c r="F110" i="4" s="1"/>
  <c r="G110" i="4" s="1"/>
  <c r="E116" i="4"/>
  <c r="F116" i="4" s="1"/>
  <c r="G116" i="4" s="1"/>
  <c r="E122" i="4"/>
  <c r="F122" i="4" s="1"/>
  <c r="G122" i="4" s="1"/>
  <c r="E127" i="4"/>
  <c r="F127" i="4" s="1"/>
  <c r="G127" i="4" s="1"/>
  <c r="E10" i="5"/>
  <c r="E26" i="5"/>
  <c r="G6" i="3"/>
  <c r="C19" i="3" s="1"/>
  <c r="C29" i="3" s="1"/>
  <c r="G152" i="2"/>
  <c r="G153" i="2" s="1"/>
  <c r="F7" i="3"/>
  <c r="E26" i="4"/>
  <c r="E31" i="4"/>
  <c r="F31" i="4" s="1"/>
  <c r="G31" i="4" s="1"/>
  <c r="E36" i="4"/>
  <c r="E41" i="4"/>
  <c r="F41" i="4" s="1"/>
  <c r="G41" i="4" s="1"/>
  <c r="E46" i="4"/>
  <c r="F46" i="4" s="1"/>
  <c r="G46" i="4" s="1"/>
  <c r="E105" i="4"/>
  <c r="F105" i="4" s="1"/>
  <c r="G105" i="4" s="1"/>
  <c r="D136" i="2"/>
  <c r="D138" i="2" s="1"/>
  <c r="B7" i="3"/>
  <c r="D8" i="6"/>
  <c r="D7" i="3"/>
  <c r="B21" i="5"/>
  <c r="C8" i="3"/>
  <c r="D19" i="4"/>
  <c r="D35" i="4"/>
  <c r="B135" i="2"/>
  <c r="B137" i="2" s="1"/>
  <c r="B153" i="2" s="1"/>
  <c r="E8" i="3"/>
  <c r="B9" i="4"/>
  <c r="D135" i="2"/>
  <c r="D137" i="2" s="1"/>
  <c r="D22" i="6" l="1"/>
  <c r="E22" i="6" s="1"/>
  <c r="D22" i="5"/>
  <c r="F22" i="5" s="1"/>
  <c r="G22" i="5" s="1"/>
  <c r="D15" i="5"/>
  <c r="F15" i="5" s="1"/>
  <c r="G15" i="5" s="1"/>
  <c r="F22" i="4"/>
  <c r="G22" i="4" s="1"/>
  <c r="F28" i="4"/>
  <c r="G28" i="4" s="1"/>
  <c r="D7" i="5"/>
  <c r="F7" i="5" s="1"/>
  <c r="G7" i="5" s="1"/>
  <c r="F35" i="4"/>
  <c r="G35" i="4" s="1"/>
  <c r="F19" i="4"/>
  <c r="G19" i="4" s="1"/>
  <c r="F18" i="4"/>
  <c r="G18" i="4" s="1"/>
  <c r="F20" i="4"/>
  <c r="G20" i="4" s="1"/>
  <c r="F26" i="4"/>
  <c r="G26" i="4" s="1"/>
  <c r="D24" i="5"/>
  <c r="F24" i="5" s="1"/>
  <c r="G24" i="5" s="1"/>
  <c r="F34" i="4"/>
  <c r="G34" i="4" s="1"/>
  <c r="I28" i="3"/>
  <c r="D17" i="5"/>
  <c r="F17" i="5" s="1"/>
  <c r="G17" i="5" s="1"/>
  <c r="D25" i="5"/>
  <c r="F25" i="5" s="1"/>
  <c r="G25" i="5" s="1"/>
  <c r="D16" i="5"/>
  <c r="F16" i="5" s="1"/>
  <c r="G16" i="5" s="1"/>
  <c r="D9" i="5"/>
  <c r="F9" i="5" s="1"/>
  <c r="G9" i="5" s="1"/>
  <c r="F36" i="4"/>
  <c r="G36" i="4" s="1"/>
  <c r="D21" i="5"/>
  <c r="F21" i="5" s="1"/>
  <c r="G21" i="5" s="1"/>
  <c r="D12" i="5"/>
  <c r="F12" i="5" s="1"/>
  <c r="G12" i="5" s="1"/>
  <c r="E38" i="5"/>
  <c r="D20" i="5"/>
  <c r="F20" i="5" s="1"/>
  <c r="G20" i="5" s="1"/>
  <c r="D26" i="5"/>
  <c r="F26" i="5" s="1"/>
  <c r="G26" i="5" s="1"/>
  <c r="D15" i="3"/>
  <c r="D19" i="5"/>
  <c r="F19" i="5" s="1"/>
  <c r="G19" i="5" s="1"/>
  <c r="D14" i="5"/>
  <c r="F14" i="5" s="1"/>
  <c r="G14" i="5" s="1"/>
  <c r="D18" i="5"/>
  <c r="F18" i="5" s="1"/>
  <c r="G18" i="5" s="1"/>
  <c r="D152" i="2"/>
  <c r="D153" i="2" s="1"/>
  <c r="D16" i="3"/>
  <c r="D8" i="5"/>
  <c r="F8" i="5" s="1"/>
  <c r="G8" i="5" s="1"/>
  <c r="D23" i="5"/>
  <c r="F23" i="5" s="1"/>
  <c r="G23" i="5" s="1"/>
  <c r="D13" i="5"/>
  <c r="F13" i="5" s="1"/>
  <c r="G13" i="5" s="1"/>
  <c r="F24" i="4"/>
  <c r="G24" i="4" s="1"/>
  <c r="I29" i="3"/>
  <c r="D10" i="5"/>
  <c r="F10" i="5" s="1"/>
  <c r="G10" i="5" s="1"/>
  <c r="D11" i="5"/>
  <c r="F11" i="5" s="1"/>
  <c r="G11" i="5" s="1"/>
  <c r="E45" i="5"/>
  <c r="E41" i="5"/>
  <c r="B45" i="5"/>
  <c r="B41" i="5"/>
  <c r="B44" i="5"/>
  <c r="B40" i="5"/>
  <c r="E43" i="5"/>
  <c r="E39" i="5"/>
  <c r="E40" i="5"/>
  <c r="B39" i="5"/>
  <c r="B43" i="5"/>
  <c r="E44" i="5"/>
  <c r="B42" i="5"/>
  <c r="D17" i="3"/>
  <c r="F32" i="4"/>
  <c r="G32" i="4" s="1"/>
  <c r="D47" i="5" l="1"/>
  <c r="D49" i="5" s="1"/>
  <c r="D48" i="5"/>
  <c r="D50" i="5" s="1"/>
  <c r="D51" i="5" s="1"/>
  <c r="D53" i="5" s="1"/>
  <c r="B143" i="4"/>
  <c r="B28" i="5"/>
  <c r="B29" i="5" s="1"/>
  <c r="B31" i="5" s="1"/>
  <c r="B30" i="5"/>
  <c r="I26" i="3"/>
  <c r="I27" i="3"/>
  <c r="I2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<sst xmlns="http://schemas.openxmlformats.org/spreadsheetml/2006/main" count="203" uniqueCount="152">
  <si>
    <t>📊 РЕАЛЬНЫЕ ЦЕНЫ ЗАКРЫТИЯ (126 торговых дней, Yahoo Finance)</t>
  </si>
  <si>
    <t>Период: 18.08.2025 — 17.02.2026. Цены в USD. S&amp;P 500 — индекс рынка.</t>
  </si>
  <si>
    <t>Дата</t>
  </si>
  <si>
    <t>День</t>
  </si>
  <si>
    <t>PYPL (PayPal)</t>
  </si>
  <si>
    <t>MAR (Marriott International)</t>
  </si>
  <si>
    <t>MA (Mastercard )</t>
  </si>
  <si>
    <t>GOOGL (Google)</t>
  </si>
  <si>
    <t>WMT (WalMart)</t>
  </si>
  <si>
    <t>BAIDF (Baidu)</t>
  </si>
  <si>
    <t>S&amp;P 500</t>
  </si>
  <si>
    <t>📈 ДОХОДНОСТИ И МЕТРИКИ — СЧИТАЕМ ИЗ РЕАЛЬНЫХ ЦЕН</t>
  </si>
  <si>
    <t>📊 ШАГ 1: ДНЕВНЫЕ ДОХОДНОСТИ = (Цена_сегодня − Цена_вчера) / Цена_вчера</t>
  </si>
  <si>
    <t>PYPL (%)</t>
  </si>
  <si>
    <t>MAR (%)</t>
  </si>
  <si>
    <t>MA (%)</t>
  </si>
  <si>
    <t>GOOGL (%)</t>
  </si>
  <si>
    <t>WMT (%)</t>
  </si>
  <si>
    <t>BAIDF (%)</t>
  </si>
  <si>
    <t>S&amp;P500 (%)</t>
  </si>
  <si>
    <t>← Из сырых цен!</t>
  </si>
  <si>
    <t>📊 ШАГ 2: СРЕДНЯЯ ДОХОДНОСТЬ И ВОЛАТИЛЬНОСТЬ</t>
  </si>
  <si>
    <t>Метрика</t>
  </si>
  <si>
    <t>PYPL</t>
  </si>
  <si>
    <t>MAR</t>
  </si>
  <si>
    <t>MA</t>
  </si>
  <si>
    <t>GOOGL</t>
  </si>
  <si>
    <t>WMT</t>
  </si>
  <si>
    <t>BAIDF</t>
  </si>
  <si>
    <t>S&amp;P500</t>
  </si>
  <si>
    <t>Средняя дох-ть (дн.)</t>
  </si>
  <si>
    <t>Волатильность (дн.)</t>
  </si>
  <si>
    <t>← STDEV = мера риска</t>
  </si>
  <si>
    <t>Годовая дох-ть</t>
  </si>
  <si>
    <t>← ×252 торговых дня</t>
  </si>
  <si>
    <t>Годовая волат-ть</t>
  </si>
  <si>
    <t>📊 ШАГ 3: БЕТА = COV(акция, S&amp;P500) / VAR(S&amp;P500)</t>
  </si>
  <si>
    <t>β&gt;1 → рискованнее рынка. β&lt;1 → спокойнее. β≈1 → как рынок.</t>
  </si>
  <si>
    <t>Пояснение</t>
  </si>
  <si>
    <t>Бета (β)</t>
  </si>
  <si>
    <t>← COV/VAR из реальных данных!</t>
  </si>
  <si>
    <t>Тип:</t>
  </si>
  <si>
    <t>📊 ШАГ 4: ШАРП = (Год.дох-ть − 5.25%) / Год.волат-ть</t>
  </si>
  <si>
    <t>Безрисковая ставка = 5.25% (Fed Funds Rate). Sharpe&gt;1 = хорошо.</t>
  </si>
  <si>
    <t>Безриск. ставка</t>
  </si>
  <si>
    <t>Sharpe Ratio ✨</t>
  </si>
  <si>
    <t>Оценка:</t>
  </si>
  <si>
    <t>🏆 Всё посчитано из РЕАЛЬНЫХ цен Yahoo Finance! Бета и Шарп — настоящие значения.</t>
  </si>
  <si>
    <t>📊 КОРРЕЛЯЦИЯ ДОХОДНОСТЕЙ (РЕАЛЬНЫЕ ДАННЫЕ)</t>
  </si>
  <si>
    <t>❓ Какие акции ходят вместе? Для портфеля нужны НЕКОРРЕЛИРОВАННЫЕ!</t>
  </si>
  <si>
    <t>📋 КЛЮЧЕВЫЕ ПАРЫ:</t>
  </si>
  <si>
    <t>Пара</t>
  </si>
  <si>
    <t>r</t>
  </si>
  <si>
    <t>Сила</t>
  </si>
  <si>
    <t>Для портфеля</t>
  </si>
  <si>
    <t>PYPL↔MA</t>
  </si>
  <si>
    <t>Два гиганта в сфере цифровых платежей  — диверсификация?</t>
  </si>
  <si>
    <t>PYPL↔GOOGL</t>
  </si>
  <si>
    <t>Если связь технологичности цифровых платежей и сектора технологии</t>
  </si>
  <si>
    <t>GOOGL↔BAIDF</t>
  </si>
  <si>
    <t>Два тех-гиганта — география</t>
  </si>
  <si>
    <t>MAR↔WMT</t>
  </si>
  <si>
    <t>отдух/досуг и потребительские товары  — для диверсификации</t>
  </si>
  <si>
    <t>PYPL↔BAIDF</t>
  </si>
  <si>
    <t>Если связь технологичности цифровых платежей и сектора технологии (Китай)</t>
  </si>
  <si>
    <t>✏️ ЗНАЧИМОСТЬ (t-тест)</t>
  </si>
  <si>
    <t>t = r×√(n-2)/√(1-r²). t_крит ≈ 2.05 при α=0.05, df=123.</t>
  </si>
  <si>
    <t>n</t>
  </si>
  <si>
    <t>t-стат</t>
  </si>
  <si>
    <t>t-крит</t>
  </si>
  <si>
    <t>Значима?</t>
  </si>
  <si>
    <t>Вывод</t>
  </si>
  <si>
    <t>📈 РЕГРЕССИЯ: PYPL ~ S&amp;P 500 (CAPM)</t>
  </si>
  <si>
    <t>❓ CAPM: Доходность_PYPL = α + β × Доходность_SP500</t>
  </si>
  <si>
    <t>Paypal — самая волатильная из наших акций. Как она зависит от рынка?</t>
  </si>
  <si>
    <t>α &gt; 0 → Paypal обыгрывает рынок! β &gt; 1 → рискованнее рынка.</t>
  </si>
  <si>
    <t>📊 МЕТРИКИ CAPM</t>
  </si>
  <si>
    <t>Параметр</t>
  </si>
  <si>
    <t>Значение</t>
  </si>
  <si>
    <t>Формула</t>
  </si>
  <si>
    <t>Что это значит</t>
  </si>
  <si>
    <t>α (альфа)</t>
  </si>
  <si>
    <t>INTERCEPT(PYPL, SP500)</t>
  </si>
  <si>
    <t>← α&gt;0 → PYPL обыгрывает рынок!</t>
  </si>
  <si>
    <t>β (бета)</t>
  </si>
  <si>
    <t>SLOPE(PYPL, SP500)</t>
  </si>
  <si>
    <t>← S&amp;P +1% → PYPL +β%</t>
  </si>
  <si>
    <t>R²</t>
  </si>
  <si>
    <t>RSQ</t>
  </si>
  <si>
    <t>📊 ПРОГНОЗ ДОХОДНОСТИ PYPL ПО S&amp;P 500</t>
  </si>
  <si>
    <t>📌 TREND(PYPL_все, SP500_все, SP500_текущий)</t>
  </si>
  <si>
    <t>S&amp;P500 факт (%)</t>
  </si>
  <si>
    <t>PYPL факт (%)</t>
  </si>
  <si>
    <t>PYPL прогноз (%)</t>
  </si>
  <si>
    <t>Ошибка</t>
  </si>
  <si>
    <t>e²</t>
  </si>
  <si>
    <t>RMSE =</t>
  </si>
  <si>
    <t>← Средняя ошибка прогноза</t>
  </si>
  <si>
    <t>🏅 РАНГОВЫЕ МЕТОДЫ (РЕАЛЬНЫЕ ДАННЫЕ)</t>
  </si>
  <si>
    <t>📊 СПИРМЕН: PYPL ↔ MA (n=20 дней)</t>
  </si>
  <si>
    <t>Paypal и Mastercard и  — компании цифровых платежей. Ранги доходностей совпадают?</t>
  </si>
  <si>
    <t>Ранг PYPL</t>
  </si>
  <si>
    <t>Ранг MA</t>
  </si>
  <si>
    <t>d</t>
  </si>
  <si>
    <t>d²</t>
  </si>
  <si>
    <t>Σd² =</t>
  </si>
  <si>
    <t>ρ Спирмена =</t>
  </si>
  <si>
    <t>Проверка =</t>
  </si>
  <si>
    <t>← Должно совпасть</t>
  </si>
  <si>
    <t>Сила:</t>
  </si>
  <si>
    <t>📊 МАНН-УИТНИ: GOOGL vs BAIDF (доходности)</t>
  </si>
  <si>
    <t>Google и Baidu — разные страны?</t>
  </si>
  <si>
    <t>Ранг</t>
  </si>
  <si>
    <t>R₁ (Σ рангов TSLA)</t>
  </si>
  <si>
    <t>R₂ (Σ рангов JPM)</t>
  </si>
  <si>
    <t>U₁</t>
  </si>
  <si>
    <t>U₂</t>
  </si>
  <si>
    <t>U = MIN(U₁,U₂)</t>
  </si>
  <si>
    <t>U_крит (α=0.05)</t>
  </si>
  <si>
    <t>РЕЗУЛЬТАТ:</t>
  </si>
  <si>
    <t>⭐ БОНУС: ЧАСТНАЯ КОРРЕЛЯЦИЯ + COHEN'S d</t>
  </si>
  <si>
    <t>🟣 ЧАСТНАЯ КОРРЕЛЯЦИЯ: PYPL&amp;BAIDF | S&amp;P500</t>
  </si>
  <si>
    <t>PYPL&amp;BAIDF коррелируют. Но может это просто потому что ОБА следуют за S&amp;P500?</t>
  </si>
  <si>
    <t>Шаг</t>
  </si>
  <si>
    <t>Что считаем</t>
  </si>
  <si>
    <t>1</t>
  </si>
  <si>
    <t>r(PYPL, BAIDF)</t>
  </si>
  <si>
    <t>← Обычная корреляция (может быть из-за рынка)</t>
  </si>
  <si>
    <t>2</t>
  </si>
  <si>
    <t>r(PYPL, S&amp;P500)</t>
  </si>
  <si>
    <t>3</t>
  </si>
  <si>
    <t>r(BAIDF, S&amp;P500)</t>
  </si>
  <si>
    <t>4 ✨</t>
  </si>
  <si>
    <t>r_partial</t>
  </si>
  <si>
    <t>← ЧИСТАЯ связь PYPL↔BAIDF без рынка!</t>
  </si>
  <si>
    <t>🟡 COHEN'S d: PYPL первая пол. vs вторая пол.</t>
  </si>
  <si>
    <t>Изменился ли характер PYPL во второй половине периода?</t>
  </si>
  <si>
    <t>Показатель</t>
  </si>
  <si>
    <t>M₁ (1-я половина)</t>
  </si>
  <si>
    <t>M₂ (2-я половина)</t>
  </si>
  <si>
    <t>SD₁</t>
  </si>
  <si>
    <t>4</t>
  </si>
  <si>
    <t>SD₂</t>
  </si>
  <si>
    <t>5</t>
  </si>
  <si>
    <t>SD_pooled</t>
  </si>
  <si>
    <t>6 ✨</t>
  </si>
  <si>
    <t>Cohen's d</t>
  </si>
  <si>
    <t xml:space="preserve">По итогам проведенного анализа, выбранные пары имеют слабую корреляционную связь. Максимальное значение r = 0,265.
То есть выбранные акции достаточно независимы друг от друга. Но если рассматривать в рамках t-теста, то самые наиболее статистически значимые связи у пар: 1- PayPal и Mastercard, 2- PayPal и Baidu.
Первая связь логична, это компании аналагичного бизнеса. Связь второй пары скорее носит случайный характер,нежели  какую-то закономерность. </t>
  </si>
  <si>
    <t xml:space="preserve">день покупки </t>
  </si>
  <si>
    <t xml:space="preserve">день продажи </t>
  </si>
  <si>
    <t>доход</t>
  </si>
  <si>
    <t xml:space="preserve">итого по акциям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</si>
</sst>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0.0%"/>
    <numFmt numFmtId="166" formatCode="0.000"/>
    <numFmt numFmtId="167" formatCode="0.000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2"/>
      <color rgb="FF1B4F72"/>
      <name val="Calibri"/>
    </font>
    <font>
      <b/>
      <sz val="10"/>
      <name val="Calibri"/>
    </font>
    <font>
      <b/>
      <sz val="11"/>
      <color rgb="FF006100"/>
      <name val="Calibri"/>
    </font>
    <font>
      <b/>
      <sz val="12"/>
      <color rgb="FF006100"/>
      <name val="Calibri"/>
    </font>
    <font>
      <b/>
      <sz val="11"/>
      <color rgb="FF2E86C1"/>
      <name val="Calibri"/>
    </font>
    <font>
      <b/>
      <sz val="10"/>
      <color rgb="FF2E86C1"/>
      <name val="Calibri"/>
    </font>
    <font>
      <b/>
      <sz val="12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2631"/>
      </patternFill>
    </fill>
    <fill>
      <patternFill patternType="solid">
        <fgColor rgb="FF1B4F72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ABEBC6"/>
      </patternFill>
    </fill>
    <fill>
      <patternFill patternType="solid">
        <fgColor rgb="FFD6EAF8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10" fontId="0" fillId="4" borderId="1" xfId="0" applyNumberFormat="1" applyFill="1" applyBorder="1"/>
    <xf numFmtId="0" fontId="5" fillId="0" borderId="1" xfId="0" applyFont="1" applyBorder="1"/>
    <xf numFmtId="165" fontId="0" fillId="5" borderId="1" xfId="0" applyNumberFormat="1" applyFill="1" applyBorder="1"/>
    <xf numFmtId="0" fontId="6" fillId="0" borderId="1" xfId="0" applyFont="1" applyBorder="1"/>
    <xf numFmtId="2" fontId="7" fillId="6" borderId="1" xfId="0" applyNumberFormat="1" applyFont="1" applyFill="1" applyBorder="1"/>
    <xf numFmtId="0" fontId="0" fillId="5" borderId="1" xfId="0" applyFill="1" applyBorder="1"/>
    <xf numFmtId="165" fontId="0" fillId="0" borderId="1" xfId="0" applyNumberFormat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0" fontId="5" fillId="7" borderId="1" xfId="0" applyFont="1" applyFill="1" applyBorder="1"/>
    <xf numFmtId="0" fontId="0" fillId="4" borderId="1" xfId="0" applyFill="1" applyBorder="1"/>
    <xf numFmtId="166" fontId="0" fillId="4" borderId="1" xfId="0" applyNumberFormat="1" applyFill="1" applyBorder="1"/>
    <xf numFmtId="2" fontId="0" fillId="4" borderId="1" xfId="0" applyNumberFormat="1" applyFill="1" applyBorder="1"/>
    <xf numFmtId="165" fontId="0" fillId="4" borderId="1" xfId="0" applyNumberFormat="1" applyFill="1" applyBorder="1"/>
    <xf numFmtId="10" fontId="0" fillId="0" borderId="1" xfId="0" applyNumberFormat="1" applyBorder="1"/>
    <xf numFmtId="10" fontId="0" fillId="5" borderId="1" xfId="0" applyNumberFormat="1" applyFill="1" applyBorder="1"/>
    <xf numFmtId="167" fontId="0" fillId="5" borderId="1" xfId="0" applyNumberFormat="1" applyFill="1" applyBorder="1"/>
    <xf numFmtId="10" fontId="7" fillId="6" borderId="1" xfId="0" applyNumberFormat="1" applyFont="1" applyFill="1" applyBorder="1"/>
    <xf numFmtId="0" fontId="0" fillId="7" borderId="1" xfId="0" applyFill="1" applyBorder="1"/>
    <xf numFmtId="0" fontId="5" fillId="5" borderId="1" xfId="0" applyFont="1" applyFill="1" applyBorder="1"/>
    <xf numFmtId="166" fontId="7" fillId="6" borderId="1" xfId="0" applyNumberFormat="1" applyFont="1" applyFill="1" applyBorder="1"/>
    <xf numFmtId="0" fontId="7" fillId="6" borderId="1" xfId="0" applyFont="1" applyFill="1" applyBorder="1"/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4" fillId="0" borderId="0" xfId="0" applyFont="1"/>
    <xf numFmtId="0" fontId="2" fillId="0" borderId="0" xfId="0" applyFont="1"/>
    <xf numFmtId="0" fontId="0" fillId="6" borderId="1" xfId="0" applyFill="1" applyBorder="1"/>
    <xf numFmtId="0" fontId="5" fillId="0" borderId="1" xfId="0" applyFont="1" applyBorder="1"/>
    <xf numFmtId="0" fontId="0" fillId="5" borderId="1" xfId="0" applyFill="1" applyBorder="1"/>
    <xf numFmtId="0" fontId="2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top" wrapText="1"/>
    </xf>
    <xf numFmtId="0" fontId="2" fillId="0" borderId="1" xfId="0" applyFont="1" applyBorder="1"/>
    <xf numFmtId="0" fontId="11" fillId="6" borderId="1" xfId="0" applyFont="1" applyFill="1" applyBorder="1"/>
    <xf numFmtId="0" fontId="10" fillId="0" borderId="1" xfId="0" applyFont="1" applyBorder="1"/>
    <xf numFmtId="0" fontId="5" fillId="6" borderId="1" xfId="0" applyFont="1" applyFill="1" applyBorder="1"/>
    <xf numFmtId="0" fontId="6" fillId="0" borderId="1" xfId="0" applyFont="1" applyBorder="1"/>
    <xf numFmtId="0" fontId="6" fillId="8" borderId="1" xfId="0" applyFont="1" applyFill="1" applyBorder="1" applyAlignment="1">
      <alignment vertical="top" wrapText="1"/>
    </xf>
    <xf numFmtId="0" fontId="0" fillId="8" borderId="2" xfId="0" applyFill="1" applyBorder="1"/>
    <xf numFmtId="0" fontId="0" fillId="8" borderId="3" xfId="0" applyFill="1" applyBorder="1"/>
    <xf numFmtId="0" fontId="6" fillId="8" borderId="4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Border="1"/>
    <xf numFmtId="4" fontId="0" fillId="0" borderId="0" xfId="0" applyNumberFormat="1" applyBorder="1"/>
    <xf numFmtId="4" fontId="0" fillId="8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topLeftCell="A108" workbookViewId="0">
      <selection activeCell="C4" sqref="C4:H4"/>
    </sheetView>
  </sheetViews>
  <sheetFormatPr defaultRowHeight="14.5" x14ac:dyDescent="0.35"/>
  <cols>
    <col min="1" max="1" width="14" customWidth="1"/>
    <col min="2" max="9" width="18" customWidth="1"/>
  </cols>
  <sheetData>
    <row r="1" spans="1:9" ht="18.5" x14ac:dyDescent="0.45">
      <c r="A1" s="28" t="s">
        <v>0</v>
      </c>
      <c r="B1" s="29"/>
      <c r="C1" s="29"/>
      <c r="D1" s="29"/>
      <c r="E1" s="29"/>
      <c r="F1" s="29"/>
      <c r="G1" s="29"/>
      <c r="H1" s="29"/>
      <c r="I1" s="30"/>
    </row>
    <row r="2" spans="1:9" x14ac:dyDescent="0.35">
      <c r="A2" s="31" t="s">
        <v>1</v>
      </c>
      <c r="B2" s="32"/>
      <c r="C2" s="32"/>
      <c r="D2" s="32"/>
      <c r="E2" s="32"/>
      <c r="F2" s="32"/>
      <c r="G2" s="32"/>
      <c r="H2" s="32"/>
      <c r="I2" s="32"/>
    </row>
    <row r="3" spans="1:9" ht="26.5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35">
      <c r="A4" s="2">
        <v>45887</v>
      </c>
      <c r="B4" s="3">
        <v>1</v>
      </c>
      <c r="C4" s="4">
        <v>69.37</v>
      </c>
      <c r="D4" s="4">
        <v>264.95999999999998</v>
      </c>
      <c r="E4" s="4">
        <v>582.49</v>
      </c>
      <c r="F4" s="4">
        <v>203.19</v>
      </c>
      <c r="G4" s="4">
        <v>100.5</v>
      </c>
      <c r="H4" s="4">
        <v>11.12</v>
      </c>
      <c r="I4" s="4">
        <v>6449.15</v>
      </c>
    </row>
    <row r="5" spans="1:9" x14ac:dyDescent="0.35">
      <c r="A5" s="2">
        <v>45888</v>
      </c>
      <c r="B5" s="3">
        <v>2</v>
      </c>
      <c r="C5" s="4">
        <v>68.89</v>
      </c>
      <c r="D5" s="4">
        <v>265.47000000000003</v>
      </c>
      <c r="E5" s="4">
        <v>583.86</v>
      </c>
      <c r="F5" s="4">
        <v>201.26</v>
      </c>
      <c r="G5" s="4">
        <v>101.08</v>
      </c>
      <c r="H5" s="4">
        <v>11.12</v>
      </c>
      <c r="I5" s="4">
        <v>6411.37</v>
      </c>
    </row>
    <row r="6" spans="1:9" x14ac:dyDescent="0.35">
      <c r="A6" s="2">
        <v>45889</v>
      </c>
      <c r="B6" s="3">
        <v>3</v>
      </c>
      <c r="C6" s="4">
        <v>67.92</v>
      </c>
      <c r="D6" s="4">
        <v>262.24</v>
      </c>
      <c r="E6" s="4">
        <v>591.01</v>
      </c>
      <c r="F6" s="4">
        <v>199.01</v>
      </c>
      <c r="G6" s="4">
        <v>102.36</v>
      </c>
      <c r="H6" s="4">
        <v>11.12</v>
      </c>
      <c r="I6" s="4">
        <v>6395.78</v>
      </c>
    </row>
    <row r="7" spans="1:9" x14ac:dyDescent="0.35">
      <c r="A7" s="2">
        <v>45890</v>
      </c>
      <c r="B7" s="3">
        <v>4</v>
      </c>
      <c r="C7" s="4">
        <v>67.39</v>
      </c>
      <c r="D7" s="4">
        <v>261.64999999999998</v>
      </c>
      <c r="E7" s="4">
        <v>590.25</v>
      </c>
      <c r="F7" s="4">
        <v>199.44</v>
      </c>
      <c r="G7" s="4">
        <v>97.76</v>
      </c>
      <c r="H7" s="4">
        <v>11.12</v>
      </c>
      <c r="I7" s="4">
        <v>6370.17</v>
      </c>
    </row>
    <row r="8" spans="1:9" x14ac:dyDescent="0.35">
      <c r="A8" s="2">
        <v>45891</v>
      </c>
      <c r="B8" s="3">
        <v>5</v>
      </c>
      <c r="C8" s="4">
        <v>69.739999999999995</v>
      </c>
      <c r="D8" s="4">
        <v>273.17</v>
      </c>
      <c r="E8" s="4">
        <v>597.27</v>
      </c>
      <c r="F8" s="4">
        <v>205.77</v>
      </c>
      <c r="G8" s="4">
        <v>96.63</v>
      </c>
      <c r="H8" s="4">
        <v>11.12</v>
      </c>
      <c r="I8" s="4">
        <v>6466.91</v>
      </c>
    </row>
    <row r="9" spans="1:9" x14ac:dyDescent="0.35">
      <c r="A9" s="2">
        <v>45894</v>
      </c>
      <c r="B9" s="3">
        <v>6</v>
      </c>
      <c r="C9" s="4">
        <v>69.319999999999993</v>
      </c>
      <c r="D9" s="4">
        <v>267.97000000000003</v>
      </c>
      <c r="E9" s="4">
        <v>591.54</v>
      </c>
      <c r="F9" s="4">
        <v>208.17</v>
      </c>
      <c r="G9" s="4">
        <v>95.87</v>
      </c>
      <c r="H9" s="4">
        <v>11.23</v>
      </c>
      <c r="I9" s="4">
        <v>6439.32</v>
      </c>
    </row>
    <row r="10" spans="1:9" x14ac:dyDescent="0.35">
      <c r="A10" s="2">
        <v>45895</v>
      </c>
      <c r="B10" s="3">
        <v>7</v>
      </c>
      <c r="C10" s="4">
        <v>70.02</v>
      </c>
      <c r="D10" s="4">
        <v>267.22000000000003</v>
      </c>
      <c r="E10" s="4">
        <v>589.94000000000005</v>
      </c>
      <c r="F10" s="4">
        <v>206.82</v>
      </c>
      <c r="G10" s="4">
        <v>95.85</v>
      </c>
      <c r="H10" s="4">
        <v>11.2</v>
      </c>
      <c r="I10" s="4">
        <v>6465.94</v>
      </c>
    </row>
    <row r="11" spans="1:9" x14ac:dyDescent="0.35">
      <c r="A11" s="2">
        <v>45896</v>
      </c>
      <c r="B11" s="3">
        <v>8</v>
      </c>
      <c r="C11" s="4">
        <v>69.489999999999995</v>
      </c>
      <c r="D11" s="4">
        <v>269.02999999999997</v>
      </c>
      <c r="E11" s="4">
        <v>589</v>
      </c>
      <c r="F11" s="4">
        <v>207.16</v>
      </c>
      <c r="G11" s="4">
        <v>95.88</v>
      </c>
      <c r="H11" s="4">
        <v>11.2</v>
      </c>
      <c r="I11" s="4">
        <v>6481.4</v>
      </c>
    </row>
    <row r="12" spans="1:9" x14ac:dyDescent="0.35">
      <c r="A12" s="2">
        <v>45897</v>
      </c>
      <c r="B12" s="3">
        <v>9</v>
      </c>
      <c r="C12" s="4">
        <v>69.900000000000006</v>
      </c>
      <c r="D12" s="4">
        <v>269.61</v>
      </c>
      <c r="E12" s="4">
        <v>588.82000000000005</v>
      </c>
      <c r="F12" s="4">
        <v>211.31</v>
      </c>
      <c r="G12" s="4">
        <v>95.91</v>
      </c>
      <c r="H12" s="4">
        <v>11.2</v>
      </c>
      <c r="I12" s="4">
        <v>6501.86</v>
      </c>
    </row>
    <row r="13" spans="1:9" x14ac:dyDescent="0.35">
      <c r="A13" s="2">
        <v>45898</v>
      </c>
      <c r="B13" s="3">
        <v>10</v>
      </c>
      <c r="C13" s="4">
        <v>70.03</v>
      </c>
      <c r="D13" s="4">
        <v>267.23</v>
      </c>
      <c r="E13" s="4">
        <v>593.61</v>
      </c>
      <c r="F13" s="4">
        <v>212.58</v>
      </c>
      <c r="G13" s="4">
        <v>96.78</v>
      </c>
      <c r="H13" s="4">
        <v>11.8</v>
      </c>
      <c r="I13" s="4">
        <v>6460.26</v>
      </c>
    </row>
    <row r="14" spans="1:9" x14ac:dyDescent="0.35">
      <c r="A14" s="2">
        <v>45902</v>
      </c>
      <c r="B14" s="3">
        <v>11</v>
      </c>
      <c r="C14" s="4">
        <v>69.09</v>
      </c>
      <c r="D14" s="4">
        <v>263.86</v>
      </c>
      <c r="E14" s="4">
        <v>590.20000000000005</v>
      </c>
      <c r="F14" s="4">
        <v>211.02</v>
      </c>
      <c r="G14" s="4">
        <v>97.65</v>
      </c>
      <c r="H14" s="4">
        <v>12.41</v>
      </c>
      <c r="I14" s="4">
        <v>6415.54</v>
      </c>
    </row>
    <row r="15" spans="1:9" x14ac:dyDescent="0.35">
      <c r="A15" s="2">
        <v>45903</v>
      </c>
      <c r="B15" s="3">
        <v>12</v>
      </c>
      <c r="C15" s="4">
        <v>69.48</v>
      </c>
      <c r="D15" s="4">
        <v>264.45</v>
      </c>
      <c r="E15" s="4">
        <v>591.61</v>
      </c>
      <c r="F15" s="4">
        <v>230.3</v>
      </c>
      <c r="G15" s="4">
        <v>99.24</v>
      </c>
      <c r="H15" s="4">
        <v>12.41</v>
      </c>
      <c r="I15" s="4">
        <v>6448.26</v>
      </c>
    </row>
    <row r="16" spans="1:9" x14ac:dyDescent="0.35">
      <c r="A16" s="2">
        <v>45904</v>
      </c>
      <c r="B16" s="3">
        <v>13</v>
      </c>
      <c r="C16" s="4">
        <v>68.3</v>
      </c>
      <c r="D16" s="4">
        <v>268.22000000000003</v>
      </c>
      <c r="E16" s="4">
        <v>593.96</v>
      </c>
      <c r="F16" s="4">
        <v>231.94</v>
      </c>
      <c r="G16" s="4">
        <v>100.72</v>
      </c>
      <c r="H16" s="4">
        <v>11.81</v>
      </c>
      <c r="I16" s="4">
        <v>6502.08</v>
      </c>
    </row>
    <row r="17" spans="1:9" x14ac:dyDescent="0.35">
      <c r="A17" s="2">
        <v>45905</v>
      </c>
      <c r="B17" s="3">
        <v>14</v>
      </c>
      <c r="C17" s="4">
        <v>68.099999999999994</v>
      </c>
      <c r="D17" s="4">
        <v>264.08</v>
      </c>
      <c r="E17" s="4">
        <v>582.57000000000005</v>
      </c>
      <c r="F17" s="4">
        <v>234.64</v>
      </c>
      <c r="G17" s="4">
        <v>100.31</v>
      </c>
      <c r="H17" s="4">
        <v>12.51</v>
      </c>
      <c r="I17" s="4">
        <v>6481.5</v>
      </c>
    </row>
    <row r="18" spans="1:9" x14ac:dyDescent="0.35">
      <c r="A18" s="2">
        <v>45908</v>
      </c>
      <c r="B18" s="3">
        <v>15</v>
      </c>
      <c r="C18" s="4">
        <v>68.239999999999995</v>
      </c>
      <c r="D18" s="4">
        <v>267.44</v>
      </c>
      <c r="E18" s="4">
        <v>584.95000000000005</v>
      </c>
      <c r="F18" s="4">
        <v>233.89</v>
      </c>
      <c r="G18" s="4">
        <v>102.07</v>
      </c>
      <c r="H18" s="4">
        <v>13.82</v>
      </c>
      <c r="I18" s="4">
        <v>6495.15</v>
      </c>
    </row>
    <row r="19" spans="1:9" x14ac:dyDescent="0.35">
      <c r="A19" s="2">
        <v>45909</v>
      </c>
      <c r="B19" s="3">
        <v>16</v>
      </c>
      <c r="C19" s="4">
        <v>67.52</v>
      </c>
      <c r="D19" s="4">
        <v>263.38</v>
      </c>
      <c r="E19" s="4">
        <v>582.36</v>
      </c>
      <c r="F19" s="4">
        <v>239.47</v>
      </c>
      <c r="G19" s="4">
        <v>102.08</v>
      </c>
      <c r="H19" s="4">
        <v>13.82</v>
      </c>
      <c r="I19" s="4">
        <v>6512.61</v>
      </c>
    </row>
    <row r="20" spans="1:9" x14ac:dyDescent="0.35">
      <c r="A20" s="2">
        <v>45910</v>
      </c>
      <c r="B20" s="3">
        <v>17</v>
      </c>
      <c r="C20" s="4">
        <v>65.489999999999995</v>
      </c>
      <c r="D20" s="4">
        <v>261.8</v>
      </c>
      <c r="E20" s="4">
        <v>577.75</v>
      </c>
      <c r="F20" s="4">
        <v>239.01</v>
      </c>
      <c r="G20" s="4">
        <v>100.21</v>
      </c>
      <c r="H20" s="4">
        <v>12.45</v>
      </c>
      <c r="I20" s="4">
        <v>6532.04</v>
      </c>
    </row>
    <row r="21" spans="1:9" x14ac:dyDescent="0.35">
      <c r="A21" s="2">
        <v>45911</v>
      </c>
      <c r="B21" s="3">
        <v>18</v>
      </c>
      <c r="C21" s="4">
        <v>67.11</v>
      </c>
      <c r="D21" s="4">
        <v>267.31</v>
      </c>
      <c r="E21" s="4">
        <v>587.07000000000005</v>
      </c>
      <c r="F21" s="4">
        <v>240.21</v>
      </c>
      <c r="G21" s="4">
        <v>102.44</v>
      </c>
      <c r="H21" s="4">
        <v>13.7</v>
      </c>
      <c r="I21" s="4">
        <v>6587.47</v>
      </c>
    </row>
    <row r="22" spans="1:9" x14ac:dyDescent="0.35">
      <c r="A22" s="2">
        <v>45912</v>
      </c>
      <c r="B22" s="3">
        <v>19</v>
      </c>
      <c r="C22" s="4">
        <v>66.739999999999995</v>
      </c>
      <c r="D22" s="4">
        <v>265.87</v>
      </c>
      <c r="E22" s="4">
        <v>578.78</v>
      </c>
      <c r="F22" s="4">
        <v>240.64</v>
      </c>
      <c r="G22" s="4">
        <v>103.28</v>
      </c>
      <c r="H22" s="4">
        <v>14.4</v>
      </c>
      <c r="I22" s="4">
        <v>6584.29</v>
      </c>
    </row>
    <row r="23" spans="1:9" x14ac:dyDescent="0.35">
      <c r="A23" s="2">
        <v>45915</v>
      </c>
      <c r="B23" s="3">
        <v>20</v>
      </c>
      <c r="C23" s="4">
        <v>66.959999999999994</v>
      </c>
      <c r="D23" s="4">
        <v>264.51</v>
      </c>
      <c r="E23" s="4">
        <v>581.32000000000005</v>
      </c>
      <c r="F23" s="4">
        <v>251.45</v>
      </c>
      <c r="G23" s="4">
        <v>103.48</v>
      </c>
      <c r="H23" s="4">
        <v>13.94</v>
      </c>
      <c r="I23" s="4">
        <v>6615.28</v>
      </c>
    </row>
    <row r="24" spans="1:9" x14ac:dyDescent="0.35">
      <c r="A24" s="2">
        <v>45916</v>
      </c>
      <c r="B24" s="3">
        <v>21</v>
      </c>
      <c r="C24" s="4">
        <v>66.7</v>
      </c>
      <c r="D24" s="4">
        <v>267.26</v>
      </c>
      <c r="E24" s="4">
        <v>584.77</v>
      </c>
      <c r="F24" s="4">
        <v>251</v>
      </c>
      <c r="G24" s="4">
        <v>103.21</v>
      </c>
      <c r="H24" s="4">
        <v>15.4</v>
      </c>
      <c r="I24" s="4">
        <v>6606.76</v>
      </c>
    </row>
    <row r="25" spans="1:9" x14ac:dyDescent="0.35">
      <c r="A25" s="2">
        <v>45917</v>
      </c>
      <c r="B25" s="3">
        <v>22</v>
      </c>
      <c r="C25" s="4">
        <v>68.459999999999994</v>
      </c>
      <c r="D25" s="4">
        <v>261.43</v>
      </c>
      <c r="E25" s="4">
        <v>596.94000000000005</v>
      </c>
      <c r="F25" s="4">
        <v>249.37</v>
      </c>
      <c r="G25" s="4">
        <v>104.06</v>
      </c>
      <c r="H25" s="4">
        <v>17</v>
      </c>
      <c r="I25" s="4">
        <v>6600.35</v>
      </c>
    </row>
    <row r="26" spans="1:9" x14ac:dyDescent="0.35">
      <c r="A26" s="2">
        <v>45918</v>
      </c>
      <c r="B26" s="3">
        <v>23</v>
      </c>
      <c r="C26" s="4">
        <v>68.36</v>
      </c>
      <c r="D26" s="4">
        <v>263.33</v>
      </c>
      <c r="E26" s="4">
        <v>584.4</v>
      </c>
      <c r="F26" s="4">
        <v>251.87</v>
      </c>
      <c r="G26" s="4">
        <v>103.39</v>
      </c>
      <c r="H26" s="4">
        <v>16.559999999999999</v>
      </c>
      <c r="I26" s="4">
        <v>6631.96</v>
      </c>
    </row>
    <row r="27" spans="1:9" x14ac:dyDescent="0.35">
      <c r="A27" s="2">
        <v>45919</v>
      </c>
      <c r="B27" s="3">
        <v>24</v>
      </c>
      <c r="C27" s="4">
        <v>68.06</v>
      </c>
      <c r="D27" s="4">
        <v>267.89</v>
      </c>
      <c r="E27" s="4">
        <v>582.51</v>
      </c>
      <c r="F27" s="4">
        <v>254.55</v>
      </c>
      <c r="G27" s="4">
        <v>102.12</v>
      </c>
      <c r="H27" s="4">
        <v>16.96</v>
      </c>
      <c r="I27" s="4">
        <v>6664.36</v>
      </c>
    </row>
    <row r="28" spans="1:9" x14ac:dyDescent="0.35">
      <c r="A28" s="2">
        <v>45922</v>
      </c>
      <c r="B28" s="3">
        <v>25</v>
      </c>
      <c r="C28" s="4">
        <v>67.52</v>
      </c>
      <c r="D28" s="4">
        <v>263.48</v>
      </c>
      <c r="E28" s="4">
        <v>582.84</v>
      </c>
      <c r="F28" s="4">
        <v>252.36</v>
      </c>
      <c r="G28" s="4">
        <v>102.61</v>
      </c>
      <c r="H28" s="4">
        <v>17.16</v>
      </c>
      <c r="I28" s="4">
        <v>6693.75</v>
      </c>
    </row>
    <row r="29" spans="1:9" x14ac:dyDescent="0.35">
      <c r="A29" s="2">
        <v>45923</v>
      </c>
      <c r="B29" s="3">
        <v>26</v>
      </c>
      <c r="C29" s="4">
        <v>67.150000000000006</v>
      </c>
      <c r="D29" s="4">
        <v>261.22000000000003</v>
      </c>
      <c r="E29" s="4">
        <v>568.36</v>
      </c>
      <c r="F29" s="4">
        <v>251.5</v>
      </c>
      <c r="G29" s="4">
        <v>102.31</v>
      </c>
      <c r="H29" s="4">
        <v>16</v>
      </c>
      <c r="I29" s="4">
        <v>6656.92</v>
      </c>
    </row>
    <row r="30" spans="1:9" x14ac:dyDescent="0.35">
      <c r="A30" s="2">
        <v>45924</v>
      </c>
      <c r="B30" s="3">
        <v>27</v>
      </c>
      <c r="C30" s="4">
        <v>67.7</v>
      </c>
      <c r="D30" s="4">
        <v>261.52</v>
      </c>
      <c r="E30" s="4">
        <v>567.21</v>
      </c>
      <c r="F30" s="4">
        <v>246.98</v>
      </c>
      <c r="G30" s="4">
        <v>102.52</v>
      </c>
      <c r="H30" s="4">
        <v>16.43</v>
      </c>
      <c r="I30" s="4">
        <v>6637.97</v>
      </c>
    </row>
    <row r="31" spans="1:9" x14ac:dyDescent="0.35">
      <c r="A31" s="2">
        <v>45925</v>
      </c>
      <c r="B31" s="3">
        <v>28</v>
      </c>
      <c r="C31" s="4">
        <v>66.59</v>
      </c>
      <c r="D31" s="4">
        <v>260.27999999999997</v>
      </c>
      <c r="E31" s="4">
        <v>565.70000000000005</v>
      </c>
      <c r="F31" s="4">
        <v>245.63</v>
      </c>
      <c r="G31" s="4">
        <v>102.84</v>
      </c>
      <c r="H31" s="4">
        <v>17.25</v>
      </c>
      <c r="I31" s="4">
        <v>6604.72</v>
      </c>
    </row>
    <row r="32" spans="1:9" x14ac:dyDescent="0.35">
      <c r="A32" s="2">
        <v>45926</v>
      </c>
      <c r="B32" s="3">
        <v>29</v>
      </c>
      <c r="C32" s="4">
        <v>67.14</v>
      </c>
      <c r="D32" s="4">
        <v>263.58999999999997</v>
      </c>
      <c r="E32" s="4">
        <v>563.54</v>
      </c>
      <c r="F32" s="4">
        <v>246.38</v>
      </c>
      <c r="G32" s="4">
        <v>102.95</v>
      </c>
      <c r="H32" s="4">
        <v>16.36</v>
      </c>
      <c r="I32" s="4">
        <v>6643.7</v>
      </c>
    </row>
    <row r="33" spans="1:9" x14ac:dyDescent="0.35">
      <c r="A33" s="2">
        <v>45929</v>
      </c>
      <c r="B33" s="3">
        <v>30</v>
      </c>
      <c r="C33" s="4">
        <v>69.52</v>
      </c>
      <c r="D33" s="4">
        <v>266.19</v>
      </c>
      <c r="E33" s="4">
        <v>566.54</v>
      </c>
      <c r="F33" s="4">
        <v>243.89</v>
      </c>
      <c r="G33" s="4">
        <v>102.87</v>
      </c>
      <c r="H33" s="4">
        <v>16.7</v>
      </c>
      <c r="I33" s="4">
        <v>6661.21</v>
      </c>
    </row>
    <row r="34" spans="1:9" x14ac:dyDescent="0.35">
      <c r="A34" s="2">
        <v>45930</v>
      </c>
      <c r="B34" s="3">
        <v>31</v>
      </c>
      <c r="C34" s="4">
        <v>66.91</v>
      </c>
      <c r="D34" s="4">
        <v>259.83</v>
      </c>
      <c r="E34" s="4">
        <v>567.21</v>
      </c>
      <c r="F34" s="4">
        <v>242.94</v>
      </c>
      <c r="G34" s="4">
        <v>102.85</v>
      </c>
      <c r="H34" s="4">
        <v>16.87</v>
      </c>
      <c r="I34" s="4">
        <v>6688.46</v>
      </c>
    </row>
    <row r="35" spans="1:9" x14ac:dyDescent="0.35">
      <c r="A35" s="2">
        <v>45931</v>
      </c>
      <c r="B35" s="3">
        <v>32</v>
      </c>
      <c r="C35" s="4">
        <v>66.510000000000005</v>
      </c>
      <c r="D35" s="4">
        <v>261.04000000000002</v>
      </c>
      <c r="E35" s="4">
        <v>572.15</v>
      </c>
      <c r="F35" s="4">
        <v>244.74</v>
      </c>
      <c r="G35" s="4">
        <v>101.75</v>
      </c>
      <c r="H35" s="4">
        <v>16.86</v>
      </c>
      <c r="I35" s="4">
        <v>6711.2</v>
      </c>
    </row>
    <row r="36" spans="1:9" x14ac:dyDescent="0.35">
      <c r="A36" s="2">
        <v>45932</v>
      </c>
      <c r="B36" s="3">
        <v>33</v>
      </c>
      <c r="C36" s="4">
        <v>68.77</v>
      </c>
      <c r="D36" s="4">
        <v>265.77</v>
      </c>
      <c r="E36" s="4">
        <v>575.70000000000005</v>
      </c>
      <c r="F36" s="4">
        <v>245.53</v>
      </c>
      <c r="G36" s="4">
        <v>101.49</v>
      </c>
      <c r="H36" s="4">
        <v>17.399999999999999</v>
      </c>
      <c r="I36" s="4">
        <v>6715.35</v>
      </c>
    </row>
    <row r="37" spans="1:9" x14ac:dyDescent="0.35">
      <c r="A37" s="2">
        <v>45933</v>
      </c>
      <c r="B37" s="3">
        <v>34</v>
      </c>
      <c r="C37" s="4">
        <v>69.09</v>
      </c>
      <c r="D37" s="4">
        <v>266.94</v>
      </c>
      <c r="E37" s="4">
        <v>578.82000000000005</v>
      </c>
      <c r="F37" s="4">
        <v>245.19</v>
      </c>
      <c r="G37" s="4">
        <v>101.86</v>
      </c>
      <c r="H37" s="4">
        <v>18.3</v>
      </c>
      <c r="I37" s="4">
        <v>6715.79</v>
      </c>
    </row>
    <row r="38" spans="1:9" x14ac:dyDescent="0.35">
      <c r="A38" s="2">
        <v>45936</v>
      </c>
      <c r="B38" s="3">
        <v>35</v>
      </c>
      <c r="C38" s="4">
        <v>71.13</v>
      </c>
      <c r="D38" s="4">
        <v>271.3</v>
      </c>
      <c r="E38" s="4">
        <v>577.17999999999995</v>
      </c>
      <c r="F38" s="4">
        <v>250.27</v>
      </c>
      <c r="G38" s="4">
        <v>102.49</v>
      </c>
      <c r="H38" s="4">
        <v>18.329999999999998</v>
      </c>
      <c r="I38" s="4">
        <v>6740.28</v>
      </c>
    </row>
    <row r="39" spans="1:9" x14ac:dyDescent="0.35">
      <c r="A39" s="2">
        <v>45937</v>
      </c>
      <c r="B39" s="3">
        <v>36</v>
      </c>
      <c r="C39" s="4">
        <v>74.44</v>
      </c>
      <c r="D39" s="4">
        <v>266.82</v>
      </c>
      <c r="E39" s="4">
        <v>578.21</v>
      </c>
      <c r="F39" s="4">
        <v>245.6</v>
      </c>
      <c r="G39" s="4">
        <v>103.03</v>
      </c>
      <c r="H39" s="4">
        <v>17.78</v>
      </c>
      <c r="I39" s="4">
        <v>6714.59</v>
      </c>
    </row>
    <row r="40" spans="1:9" x14ac:dyDescent="0.35">
      <c r="A40" s="2">
        <v>45938</v>
      </c>
      <c r="B40" s="3">
        <v>37</v>
      </c>
      <c r="C40" s="4">
        <v>75.95</v>
      </c>
      <c r="D40" s="4">
        <v>267.35000000000002</v>
      </c>
      <c r="E40" s="4">
        <v>574.82000000000005</v>
      </c>
      <c r="F40" s="4">
        <v>244.46</v>
      </c>
      <c r="G40" s="4">
        <v>102.69</v>
      </c>
      <c r="H40" s="4">
        <v>17.78</v>
      </c>
      <c r="I40" s="4">
        <v>6753.72</v>
      </c>
    </row>
    <row r="41" spans="1:9" x14ac:dyDescent="0.35">
      <c r="A41" s="2">
        <v>45939</v>
      </c>
      <c r="B41" s="3">
        <v>38</v>
      </c>
      <c r="C41" s="4">
        <v>75.58</v>
      </c>
      <c r="D41" s="4">
        <v>265.51</v>
      </c>
      <c r="E41" s="4">
        <v>563.70000000000005</v>
      </c>
      <c r="F41" s="4">
        <v>241.37</v>
      </c>
      <c r="G41" s="4">
        <v>101.56</v>
      </c>
      <c r="H41" s="4">
        <v>17.28</v>
      </c>
      <c r="I41" s="4">
        <v>6735.11</v>
      </c>
    </row>
    <row r="42" spans="1:9" x14ac:dyDescent="0.35">
      <c r="A42" s="2">
        <v>45940</v>
      </c>
      <c r="B42" s="3">
        <v>39</v>
      </c>
      <c r="C42" s="4">
        <v>69.680000000000007</v>
      </c>
      <c r="D42" s="4">
        <v>259.58999999999997</v>
      </c>
      <c r="E42" s="4">
        <v>556.64</v>
      </c>
      <c r="F42" s="4">
        <v>236.42</v>
      </c>
      <c r="G42" s="4">
        <v>101.63</v>
      </c>
      <c r="H42" s="4">
        <v>15.75</v>
      </c>
      <c r="I42" s="4">
        <v>6552.51</v>
      </c>
    </row>
    <row r="43" spans="1:9" x14ac:dyDescent="0.35">
      <c r="A43" s="2">
        <v>45943</v>
      </c>
      <c r="B43" s="3">
        <v>40</v>
      </c>
      <c r="C43" s="4">
        <v>68.7</v>
      </c>
      <c r="D43" s="4">
        <v>262.64</v>
      </c>
      <c r="E43" s="4">
        <v>558.4</v>
      </c>
      <c r="F43" s="4">
        <v>243.99</v>
      </c>
      <c r="G43" s="4">
        <v>101.91</v>
      </c>
      <c r="H43" s="4">
        <v>15.1</v>
      </c>
      <c r="I43" s="4">
        <v>6654.72</v>
      </c>
    </row>
    <row r="44" spans="1:9" x14ac:dyDescent="0.35">
      <c r="A44" s="2">
        <v>45944</v>
      </c>
      <c r="B44" s="3">
        <v>41</v>
      </c>
      <c r="C44" s="4">
        <v>68.989999999999995</v>
      </c>
      <c r="D44" s="4">
        <v>267.33999999999997</v>
      </c>
      <c r="E44" s="4">
        <v>567.07000000000005</v>
      </c>
      <c r="F44" s="4">
        <v>245.29</v>
      </c>
      <c r="G44" s="4">
        <v>106.99</v>
      </c>
      <c r="H44" s="4">
        <v>14.7</v>
      </c>
      <c r="I44" s="4">
        <v>6644.31</v>
      </c>
    </row>
    <row r="45" spans="1:9" x14ac:dyDescent="0.35">
      <c r="A45" s="2">
        <v>45945</v>
      </c>
      <c r="B45" s="3">
        <v>42</v>
      </c>
      <c r="C45" s="4">
        <v>67.819999999999993</v>
      </c>
      <c r="D45" s="4">
        <v>265.56</v>
      </c>
      <c r="E45" s="4">
        <v>561.97</v>
      </c>
      <c r="F45" s="4">
        <v>250.87</v>
      </c>
      <c r="G45" s="4">
        <v>108.81</v>
      </c>
      <c r="H45" s="4">
        <v>15.15</v>
      </c>
      <c r="I45" s="4">
        <v>6671.06</v>
      </c>
    </row>
    <row r="46" spans="1:9" x14ac:dyDescent="0.35">
      <c r="A46" s="2">
        <v>45946</v>
      </c>
      <c r="B46" s="3">
        <v>43</v>
      </c>
      <c r="C46" s="4">
        <v>65.900000000000006</v>
      </c>
      <c r="D46" s="4">
        <v>258.43</v>
      </c>
      <c r="E46" s="4">
        <v>549.05999999999995</v>
      </c>
      <c r="F46" s="4">
        <v>251.3</v>
      </c>
      <c r="G46" s="4">
        <v>106.25</v>
      </c>
      <c r="H46" s="4">
        <v>15.15</v>
      </c>
      <c r="I46" s="4">
        <v>6629.07</v>
      </c>
    </row>
    <row r="47" spans="1:9" x14ac:dyDescent="0.35">
      <c r="A47" s="2">
        <v>45947</v>
      </c>
      <c r="B47" s="3">
        <v>44</v>
      </c>
      <c r="C47" s="4">
        <v>67.25</v>
      </c>
      <c r="D47" s="4">
        <v>260.24</v>
      </c>
      <c r="E47" s="4">
        <v>560.13</v>
      </c>
      <c r="F47" s="4">
        <v>253.13</v>
      </c>
      <c r="G47" s="4">
        <v>107.51</v>
      </c>
      <c r="H47" s="4">
        <v>15</v>
      </c>
      <c r="I47" s="4">
        <v>6664.01</v>
      </c>
    </row>
    <row r="48" spans="1:9" x14ac:dyDescent="0.35">
      <c r="A48" s="2">
        <v>45950</v>
      </c>
      <c r="B48" s="3">
        <v>45</v>
      </c>
      <c r="C48" s="4">
        <v>69.040000000000006</v>
      </c>
      <c r="D48" s="4">
        <v>259.39</v>
      </c>
      <c r="E48" s="4">
        <v>565.51</v>
      </c>
      <c r="F48" s="4">
        <v>256.38</v>
      </c>
      <c r="G48" s="4">
        <v>106.83</v>
      </c>
      <c r="H48" s="4">
        <v>14.48</v>
      </c>
      <c r="I48" s="4">
        <v>6735.13</v>
      </c>
    </row>
    <row r="49" spans="1:9" x14ac:dyDescent="0.35">
      <c r="A49" s="2">
        <v>45951</v>
      </c>
      <c r="B49" s="3">
        <v>46</v>
      </c>
      <c r="C49" s="4">
        <v>69.89</v>
      </c>
      <c r="D49" s="4">
        <v>267.8</v>
      </c>
      <c r="E49" s="4">
        <v>571.16999999999996</v>
      </c>
      <c r="F49" s="4">
        <v>250.3</v>
      </c>
      <c r="G49" s="4">
        <v>106</v>
      </c>
      <c r="H49" s="4">
        <v>14.48</v>
      </c>
      <c r="I49" s="4">
        <v>6735.35</v>
      </c>
    </row>
    <row r="50" spans="1:9" x14ac:dyDescent="0.35">
      <c r="A50" s="2">
        <v>45952</v>
      </c>
      <c r="B50" s="3">
        <v>47</v>
      </c>
      <c r="C50" s="4">
        <v>67.91</v>
      </c>
      <c r="D50" s="4">
        <v>271.43</v>
      </c>
      <c r="E50" s="4">
        <v>570.5</v>
      </c>
      <c r="F50" s="4">
        <v>251.53</v>
      </c>
      <c r="G50" s="4">
        <v>106.92</v>
      </c>
      <c r="H50" s="4">
        <v>14.84</v>
      </c>
      <c r="I50" s="4">
        <v>6699.4</v>
      </c>
    </row>
    <row r="51" spans="1:9" x14ac:dyDescent="0.35">
      <c r="A51" s="2">
        <v>45953</v>
      </c>
      <c r="B51" s="3">
        <v>48</v>
      </c>
      <c r="C51" s="4">
        <v>69.5</v>
      </c>
      <c r="D51" s="4">
        <v>269.06</v>
      </c>
      <c r="E51" s="4">
        <v>572.91</v>
      </c>
      <c r="F51" s="4">
        <v>252.91</v>
      </c>
      <c r="G51" s="4">
        <v>106.64</v>
      </c>
      <c r="H51" s="4">
        <v>15.57</v>
      </c>
      <c r="I51" s="4">
        <v>6738.44</v>
      </c>
    </row>
    <row r="52" spans="1:9" x14ac:dyDescent="0.35">
      <c r="A52" s="2">
        <v>45954</v>
      </c>
      <c r="B52" s="3">
        <v>49</v>
      </c>
      <c r="C52" s="4">
        <v>69.61</v>
      </c>
      <c r="D52" s="4">
        <v>270.68</v>
      </c>
      <c r="E52" s="4">
        <v>572.80999999999995</v>
      </c>
      <c r="F52" s="4">
        <v>259.75</v>
      </c>
      <c r="G52" s="4">
        <v>105.95</v>
      </c>
      <c r="H52" s="4">
        <v>14.94</v>
      </c>
      <c r="I52" s="4">
        <v>6791.69</v>
      </c>
    </row>
    <row r="53" spans="1:9" x14ac:dyDescent="0.35">
      <c r="A53" s="2">
        <v>45957</v>
      </c>
      <c r="B53" s="3">
        <v>50</v>
      </c>
      <c r="C53" s="4">
        <v>70.09</v>
      </c>
      <c r="D53" s="4">
        <v>270.57</v>
      </c>
      <c r="E53" s="4">
        <v>571.5</v>
      </c>
      <c r="F53" s="4">
        <v>269.08999999999997</v>
      </c>
      <c r="G53" s="4">
        <v>104.26</v>
      </c>
      <c r="H53" s="4">
        <v>15.39</v>
      </c>
      <c r="I53" s="4">
        <v>6875.16</v>
      </c>
    </row>
    <row r="54" spans="1:9" x14ac:dyDescent="0.35">
      <c r="A54" s="2">
        <v>45958</v>
      </c>
      <c r="B54" s="3">
        <v>51</v>
      </c>
      <c r="C54" s="4">
        <v>72.849999999999994</v>
      </c>
      <c r="D54" s="4">
        <v>264.83</v>
      </c>
      <c r="E54" s="4">
        <v>565.08000000000004</v>
      </c>
      <c r="F54" s="4">
        <v>267.3</v>
      </c>
      <c r="G54" s="4">
        <v>102.96</v>
      </c>
      <c r="H54" s="4">
        <v>15.31</v>
      </c>
      <c r="I54" s="4">
        <v>6890.89</v>
      </c>
    </row>
    <row r="55" spans="1:9" x14ac:dyDescent="0.35">
      <c r="A55" s="2">
        <v>45959</v>
      </c>
      <c r="B55" s="3">
        <v>52</v>
      </c>
      <c r="C55" s="4">
        <v>69.52</v>
      </c>
      <c r="D55" s="4">
        <v>262.5</v>
      </c>
      <c r="E55" s="4">
        <v>553.75</v>
      </c>
      <c r="F55" s="4">
        <v>274.39</v>
      </c>
      <c r="G55" s="4">
        <v>102.25</v>
      </c>
      <c r="H55" s="4">
        <v>15.39</v>
      </c>
      <c r="I55" s="4">
        <v>6890.59</v>
      </c>
    </row>
    <row r="56" spans="1:9" x14ac:dyDescent="0.35">
      <c r="A56" s="2">
        <v>45960</v>
      </c>
      <c r="B56" s="3">
        <v>53</v>
      </c>
      <c r="C56" s="4">
        <v>67.77</v>
      </c>
      <c r="D56" s="4">
        <v>261.64999999999998</v>
      </c>
      <c r="E56" s="4">
        <v>552.85</v>
      </c>
      <c r="F56" s="4">
        <v>281.3</v>
      </c>
      <c r="G56" s="4">
        <v>102.02</v>
      </c>
      <c r="H56" s="4">
        <v>16.309999999999999</v>
      </c>
      <c r="I56" s="4">
        <v>6822.34</v>
      </c>
    </row>
    <row r="57" spans="1:9" x14ac:dyDescent="0.35">
      <c r="A57" s="2">
        <v>45961</v>
      </c>
      <c r="B57" s="3">
        <v>54</v>
      </c>
      <c r="C57" s="4">
        <v>69.11</v>
      </c>
      <c r="D57" s="4">
        <v>259.97000000000003</v>
      </c>
      <c r="E57" s="4">
        <v>551.16</v>
      </c>
      <c r="F57" s="4">
        <v>281.01</v>
      </c>
      <c r="G57" s="4">
        <v>100.97</v>
      </c>
      <c r="H57" s="4">
        <v>16.309999999999999</v>
      </c>
      <c r="I57" s="4">
        <v>6840.2</v>
      </c>
    </row>
    <row r="58" spans="1:9" x14ac:dyDescent="0.35">
      <c r="A58" s="2">
        <v>45964</v>
      </c>
      <c r="B58" s="3">
        <v>55</v>
      </c>
      <c r="C58" s="4">
        <v>68.180000000000007</v>
      </c>
      <c r="D58" s="4">
        <v>263.27</v>
      </c>
      <c r="E58" s="4">
        <v>543.25</v>
      </c>
      <c r="F58" s="4">
        <v>283.52999999999997</v>
      </c>
      <c r="G58" s="4">
        <v>101.38</v>
      </c>
      <c r="H58" s="4">
        <v>14.31</v>
      </c>
      <c r="I58" s="4">
        <v>6851.97</v>
      </c>
    </row>
    <row r="59" spans="1:9" x14ac:dyDescent="0.35">
      <c r="A59" s="2">
        <v>45965</v>
      </c>
      <c r="B59" s="3">
        <v>56</v>
      </c>
      <c r="C59" s="4">
        <v>65.930000000000007</v>
      </c>
      <c r="D59" s="4">
        <v>271.60000000000002</v>
      </c>
      <c r="E59" s="4">
        <v>551.91999999999996</v>
      </c>
      <c r="F59" s="4">
        <v>277.36</v>
      </c>
      <c r="G59" s="4">
        <v>102.06</v>
      </c>
      <c r="H59" s="4">
        <v>14.41</v>
      </c>
      <c r="I59" s="4">
        <v>6771.55</v>
      </c>
    </row>
    <row r="60" spans="1:9" x14ac:dyDescent="0.35">
      <c r="A60" s="2">
        <v>45966</v>
      </c>
      <c r="B60" s="3">
        <v>57</v>
      </c>
      <c r="C60" s="4">
        <v>67.900000000000006</v>
      </c>
      <c r="D60" s="4">
        <v>282.39999999999998</v>
      </c>
      <c r="E60" s="4">
        <v>552.48</v>
      </c>
      <c r="F60" s="4">
        <v>284.12</v>
      </c>
      <c r="G60" s="4">
        <v>101.26</v>
      </c>
      <c r="H60" s="4">
        <v>15.15</v>
      </c>
      <c r="I60" s="4">
        <v>6796.29</v>
      </c>
    </row>
    <row r="61" spans="1:9" x14ac:dyDescent="0.35">
      <c r="A61" s="2">
        <v>45967</v>
      </c>
      <c r="B61" s="3">
        <v>58</v>
      </c>
      <c r="C61" s="4">
        <v>66.11</v>
      </c>
      <c r="D61" s="4">
        <v>280.48</v>
      </c>
      <c r="E61" s="4">
        <v>552.45000000000005</v>
      </c>
      <c r="F61" s="4">
        <v>284.56</v>
      </c>
      <c r="G61" s="4">
        <v>101.47</v>
      </c>
      <c r="H61" s="4">
        <v>15.16</v>
      </c>
      <c r="I61" s="4">
        <v>6720.32</v>
      </c>
    </row>
    <row r="62" spans="1:9" x14ac:dyDescent="0.35">
      <c r="A62" s="2">
        <v>45968</v>
      </c>
      <c r="B62" s="3">
        <v>59</v>
      </c>
      <c r="C62" s="4">
        <v>66.069999999999993</v>
      </c>
      <c r="D62" s="4">
        <v>290.47000000000003</v>
      </c>
      <c r="E62" s="4">
        <v>551.14</v>
      </c>
      <c r="F62" s="4">
        <v>278.64999999999998</v>
      </c>
      <c r="G62" s="4">
        <v>102.38</v>
      </c>
      <c r="H62" s="4">
        <v>15.16</v>
      </c>
      <c r="I62" s="4">
        <v>6728.8</v>
      </c>
    </row>
    <row r="63" spans="1:9" x14ac:dyDescent="0.35">
      <c r="A63" s="2">
        <v>45971</v>
      </c>
      <c r="B63" s="3">
        <v>60</v>
      </c>
      <c r="C63" s="4">
        <v>66.099999999999994</v>
      </c>
      <c r="D63" s="4">
        <v>289.79000000000002</v>
      </c>
      <c r="E63" s="4">
        <v>552.13</v>
      </c>
      <c r="F63" s="4">
        <v>289.91000000000003</v>
      </c>
      <c r="G63" s="4">
        <v>102.21</v>
      </c>
      <c r="H63" s="4">
        <v>16.5</v>
      </c>
      <c r="I63" s="4">
        <v>6832.43</v>
      </c>
    </row>
    <row r="64" spans="1:9" x14ac:dyDescent="0.35">
      <c r="A64" s="2">
        <v>45972</v>
      </c>
      <c r="B64" s="3">
        <v>61</v>
      </c>
      <c r="C64" s="4">
        <v>67.239999999999995</v>
      </c>
      <c r="D64" s="4">
        <v>291.20999999999998</v>
      </c>
      <c r="E64" s="4">
        <v>557.51</v>
      </c>
      <c r="F64" s="4">
        <v>291.12</v>
      </c>
      <c r="G64" s="4">
        <v>103.23</v>
      </c>
      <c r="H64" s="4">
        <v>16.91</v>
      </c>
      <c r="I64" s="4">
        <v>6846.61</v>
      </c>
    </row>
    <row r="65" spans="1:9" x14ac:dyDescent="0.35">
      <c r="A65" s="2">
        <v>45973</v>
      </c>
      <c r="B65" s="3">
        <v>62</v>
      </c>
      <c r="C65" s="4">
        <v>67.05</v>
      </c>
      <c r="D65" s="4">
        <v>290.98</v>
      </c>
      <c r="E65" s="4">
        <v>560.39</v>
      </c>
      <c r="F65" s="4">
        <v>286.52</v>
      </c>
      <c r="G65" s="4">
        <v>103.23</v>
      </c>
      <c r="H65" s="4">
        <v>16.2</v>
      </c>
      <c r="I65" s="4">
        <v>6850.92</v>
      </c>
    </row>
    <row r="66" spans="1:9" x14ac:dyDescent="0.35">
      <c r="A66" s="2">
        <v>45974</v>
      </c>
      <c r="B66" s="3">
        <v>63</v>
      </c>
      <c r="C66" s="4">
        <v>65.180000000000007</v>
      </c>
      <c r="D66" s="4">
        <v>286.75</v>
      </c>
      <c r="E66" s="4">
        <v>554.74</v>
      </c>
      <c r="F66" s="4">
        <v>278.39</v>
      </c>
      <c r="G66" s="4">
        <v>102.33</v>
      </c>
      <c r="H66" s="4">
        <v>15.35</v>
      </c>
      <c r="I66" s="4">
        <v>6737.49</v>
      </c>
    </row>
    <row r="67" spans="1:9" x14ac:dyDescent="0.35">
      <c r="A67" s="2">
        <v>45975</v>
      </c>
      <c r="B67" s="3">
        <v>64</v>
      </c>
      <c r="C67" s="4">
        <v>62.67</v>
      </c>
      <c r="D67" s="4">
        <v>285.05</v>
      </c>
      <c r="E67" s="4">
        <v>544.91</v>
      </c>
      <c r="F67" s="4">
        <v>276.23</v>
      </c>
      <c r="G67" s="4">
        <v>102.27</v>
      </c>
      <c r="H67" s="4">
        <v>13.87</v>
      </c>
      <c r="I67" s="4">
        <v>6734.11</v>
      </c>
    </row>
    <row r="68" spans="1:9" x14ac:dyDescent="0.35">
      <c r="A68" s="2">
        <v>45978</v>
      </c>
      <c r="B68" s="3">
        <v>65</v>
      </c>
      <c r="C68" s="4">
        <v>61.75</v>
      </c>
      <c r="D68" s="4">
        <v>282.22000000000003</v>
      </c>
      <c r="E68" s="4">
        <v>536.04</v>
      </c>
      <c r="F68" s="4">
        <v>284.83</v>
      </c>
      <c r="G68" s="4">
        <v>102.74</v>
      </c>
      <c r="H68" s="4">
        <v>13.61</v>
      </c>
      <c r="I68" s="4">
        <v>6672.41</v>
      </c>
    </row>
    <row r="69" spans="1:9" x14ac:dyDescent="0.35">
      <c r="A69" s="2">
        <v>45979</v>
      </c>
      <c r="B69" s="3">
        <v>66</v>
      </c>
      <c r="C69" s="4">
        <v>60.56</v>
      </c>
      <c r="D69" s="4">
        <v>282.23</v>
      </c>
      <c r="E69" s="4">
        <v>526.79</v>
      </c>
      <c r="F69" s="4">
        <v>284.08999999999997</v>
      </c>
      <c r="G69" s="4">
        <v>101.18</v>
      </c>
      <c r="H69" s="4">
        <v>13.61</v>
      </c>
      <c r="I69" s="4">
        <v>6617.32</v>
      </c>
    </row>
    <row r="70" spans="1:9" x14ac:dyDescent="0.35">
      <c r="A70" s="2">
        <v>45980</v>
      </c>
      <c r="B70" s="3">
        <v>67</v>
      </c>
      <c r="C70" s="4">
        <v>60.11</v>
      </c>
      <c r="D70" s="4">
        <v>283.52999999999997</v>
      </c>
      <c r="E70" s="4">
        <v>529.55999999999995</v>
      </c>
      <c r="F70" s="4">
        <v>292.62</v>
      </c>
      <c r="G70" s="4">
        <v>100.41</v>
      </c>
      <c r="H70" s="4">
        <v>13.35</v>
      </c>
      <c r="I70" s="4">
        <v>6642.16</v>
      </c>
    </row>
    <row r="71" spans="1:9" x14ac:dyDescent="0.35">
      <c r="A71" s="2">
        <v>45981</v>
      </c>
      <c r="B71" s="3">
        <v>68</v>
      </c>
      <c r="C71" s="4">
        <v>58.1</v>
      </c>
      <c r="D71" s="4">
        <v>282.38</v>
      </c>
      <c r="E71" s="4">
        <v>527.09</v>
      </c>
      <c r="F71" s="4">
        <v>289.26</v>
      </c>
      <c r="G71" s="4">
        <v>106.89</v>
      </c>
      <c r="H71" s="4">
        <v>13.35</v>
      </c>
      <c r="I71" s="4">
        <v>6538.76</v>
      </c>
    </row>
    <row r="72" spans="1:9" x14ac:dyDescent="0.35">
      <c r="A72" s="2">
        <v>45982</v>
      </c>
      <c r="B72" s="3">
        <v>69</v>
      </c>
      <c r="C72" s="4">
        <v>60.57</v>
      </c>
      <c r="D72" s="4">
        <v>295.83999999999997</v>
      </c>
      <c r="E72" s="4">
        <v>539.59</v>
      </c>
      <c r="F72" s="4">
        <v>299.45999999999998</v>
      </c>
      <c r="G72" s="4">
        <v>105.11</v>
      </c>
      <c r="H72" s="4">
        <v>14</v>
      </c>
      <c r="I72" s="4">
        <v>6602.99</v>
      </c>
    </row>
    <row r="73" spans="1:9" x14ac:dyDescent="0.35">
      <c r="A73" s="2">
        <v>45985</v>
      </c>
      <c r="B73" s="3">
        <v>70</v>
      </c>
      <c r="C73" s="4">
        <v>60.56</v>
      </c>
      <c r="D73" s="4">
        <v>296.23</v>
      </c>
      <c r="E73" s="4">
        <v>537.04</v>
      </c>
      <c r="F73" s="4">
        <v>318.37</v>
      </c>
      <c r="G73" s="4">
        <v>103.85</v>
      </c>
      <c r="H73" s="4">
        <v>14</v>
      </c>
      <c r="I73" s="4">
        <v>6705.12</v>
      </c>
    </row>
    <row r="74" spans="1:9" x14ac:dyDescent="0.35">
      <c r="A74" s="2">
        <v>45986</v>
      </c>
      <c r="B74" s="3">
        <v>71</v>
      </c>
      <c r="C74" s="4">
        <v>61.22</v>
      </c>
      <c r="D74" s="4">
        <v>304.12</v>
      </c>
      <c r="E74" s="4">
        <v>545.65</v>
      </c>
      <c r="F74" s="4">
        <v>323.23</v>
      </c>
      <c r="G74" s="4">
        <v>106.78</v>
      </c>
      <c r="H74" s="4">
        <v>14</v>
      </c>
      <c r="I74" s="4">
        <v>6765.88</v>
      </c>
    </row>
    <row r="75" spans="1:9" x14ac:dyDescent="0.35">
      <c r="A75" s="2">
        <v>45987</v>
      </c>
      <c r="B75" s="3">
        <v>72</v>
      </c>
      <c r="C75" s="4">
        <v>61.83</v>
      </c>
      <c r="D75" s="4">
        <v>304.64999999999998</v>
      </c>
      <c r="E75" s="4">
        <v>544.11</v>
      </c>
      <c r="F75" s="4">
        <v>319.74</v>
      </c>
      <c r="G75" s="4">
        <v>108.88</v>
      </c>
      <c r="H75" s="4">
        <v>14</v>
      </c>
      <c r="I75" s="4">
        <v>6812.61</v>
      </c>
    </row>
    <row r="76" spans="1:9" x14ac:dyDescent="0.35">
      <c r="A76" s="2">
        <v>45989</v>
      </c>
      <c r="B76" s="3">
        <v>73</v>
      </c>
      <c r="C76" s="4">
        <v>62.69</v>
      </c>
      <c r="D76" s="4">
        <v>304.79000000000002</v>
      </c>
      <c r="E76" s="4">
        <v>549.70000000000005</v>
      </c>
      <c r="F76" s="4">
        <v>319.97000000000003</v>
      </c>
      <c r="G76" s="4">
        <v>110.29</v>
      </c>
      <c r="H76" s="4">
        <v>15</v>
      </c>
      <c r="I76" s="4">
        <v>6849.09</v>
      </c>
    </row>
    <row r="77" spans="1:9" x14ac:dyDescent="0.35">
      <c r="A77" s="2">
        <v>45992</v>
      </c>
      <c r="B77" s="3">
        <v>74</v>
      </c>
      <c r="C77" s="4">
        <v>62.58</v>
      </c>
      <c r="D77" s="4">
        <v>303.44</v>
      </c>
      <c r="E77" s="4">
        <v>543.15</v>
      </c>
      <c r="F77" s="4">
        <v>314.68</v>
      </c>
      <c r="G77" s="4">
        <v>111.3</v>
      </c>
      <c r="H77" s="4">
        <v>15.06</v>
      </c>
      <c r="I77" s="4">
        <v>6812.63</v>
      </c>
    </row>
    <row r="78" spans="1:9" x14ac:dyDescent="0.35">
      <c r="A78" s="2">
        <v>45993</v>
      </c>
      <c r="B78" s="3">
        <v>75</v>
      </c>
      <c r="C78" s="4">
        <v>62.9</v>
      </c>
      <c r="D78" s="4">
        <v>304.64999999999998</v>
      </c>
      <c r="E78" s="4">
        <v>545.09</v>
      </c>
      <c r="F78" s="4">
        <v>315.60000000000002</v>
      </c>
      <c r="G78" s="4">
        <v>112.18</v>
      </c>
      <c r="H78" s="4">
        <v>15.06</v>
      </c>
      <c r="I78" s="4">
        <v>6829.37</v>
      </c>
    </row>
    <row r="79" spans="1:9" x14ac:dyDescent="0.35">
      <c r="A79" s="2">
        <v>45994</v>
      </c>
      <c r="B79" s="3">
        <v>76</v>
      </c>
      <c r="C79" s="4">
        <v>61.24</v>
      </c>
      <c r="D79" s="4">
        <v>306.64999999999998</v>
      </c>
      <c r="E79" s="4">
        <v>552.9</v>
      </c>
      <c r="F79" s="4">
        <v>319.42</v>
      </c>
      <c r="G79" s="4">
        <v>114.18</v>
      </c>
      <c r="H79" s="4">
        <v>15.12</v>
      </c>
      <c r="I79" s="4">
        <v>6849.72</v>
      </c>
    </row>
    <row r="80" spans="1:9" x14ac:dyDescent="0.35">
      <c r="A80" s="2">
        <v>45995</v>
      </c>
      <c r="B80" s="3">
        <v>77</v>
      </c>
      <c r="C80" s="4">
        <v>61.73</v>
      </c>
      <c r="D80" s="4">
        <v>296</v>
      </c>
      <c r="E80" s="4">
        <v>541.5</v>
      </c>
      <c r="F80" s="4">
        <v>317.41000000000003</v>
      </c>
      <c r="G80" s="4">
        <v>114.61</v>
      </c>
      <c r="H80" s="4">
        <v>14.98</v>
      </c>
      <c r="I80" s="4">
        <v>6857.12</v>
      </c>
    </row>
    <row r="81" spans="1:9" x14ac:dyDescent="0.35">
      <c r="A81" s="2">
        <v>45996</v>
      </c>
      <c r="B81" s="3">
        <v>78</v>
      </c>
      <c r="C81" s="4">
        <v>62.28</v>
      </c>
      <c r="D81" s="4">
        <v>292.58999999999997</v>
      </c>
      <c r="E81" s="4">
        <v>544.70000000000005</v>
      </c>
      <c r="F81" s="4">
        <v>321.06</v>
      </c>
      <c r="G81" s="4">
        <v>114.88</v>
      </c>
      <c r="H81" s="4">
        <v>14.98</v>
      </c>
      <c r="I81" s="4">
        <v>6870.4</v>
      </c>
    </row>
    <row r="82" spans="1:9" x14ac:dyDescent="0.35">
      <c r="A82" s="2">
        <v>45999</v>
      </c>
      <c r="B82" s="3">
        <v>79</v>
      </c>
      <c r="C82" s="4">
        <v>61.12</v>
      </c>
      <c r="D82" s="4">
        <v>287.82</v>
      </c>
      <c r="E82" s="4">
        <v>539.63</v>
      </c>
      <c r="F82" s="4">
        <v>313.72000000000003</v>
      </c>
      <c r="G82" s="4">
        <v>113.33</v>
      </c>
      <c r="H82" s="4">
        <v>16.68</v>
      </c>
      <c r="I82" s="4">
        <v>6846.51</v>
      </c>
    </row>
    <row r="83" spans="1:9" x14ac:dyDescent="0.35">
      <c r="A83" s="2">
        <v>46000</v>
      </c>
      <c r="B83" s="3">
        <v>80</v>
      </c>
      <c r="C83" s="4">
        <v>60.78</v>
      </c>
      <c r="D83" s="4">
        <v>283.83999999999997</v>
      </c>
      <c r="E83" s="4">
        <v>536.74</v>
      </c>
      <c r="F83" s="4">
        <v>317.08</v>
      </c>
      <c r="G83" s="4">
        <v>114.83</v>
      </c>
      <c r="H83" s="4">
        <v>16.68</v>
      </c>
      <c r="I83" s="4">
        <v>6840.51</v>
      </c>
    </row>
    <row r="84" spans="1:9" x14ac:dyDescent="0.35">
      <c r="A84" s="2">
        <v>46001</v>
      </c>
      <c r="B84" s="3">
        <v>81</v>
      </c>
      <c r="C84" s="4">
        <v>61.16</v>
      </c>
      <c r="D84" s="4">
        <v>286.95999999999998</v>
      </c>
      <c r="E84" s="4">
        <v>538.04999999999995</v>
      </c>
      <c r="F84" s="4">
        <v>320.20999999999998</v>
      </c>
      <c r="G84" s="4">
        <v>112.95</v>
      </c>
      <c r="H84" s="4">
        <v>16.68</v>
      </c>
      <c r="I84" s="4">
        <v>6886.68</v>
      </c>
    </row>
    <row r="85" spans="1:9" x14ac:dyDescent="0.35">
      <c r="A85" s="2">
        <v>46002</v>
      </c>
      <c r="B85" s="3">
        <v>82</v>
      </c>
      <c r="C85" s="4">
        <v>61.69</v>
      </c>
      <c r="D85" s="4">
        <v>296.45999999999998</v>
      </c>
      <c r="E85" s="4">
        <v>562.53</v>
      </c>
      <c r="F85" s="4">
        <v>312.43</v>
      </c>
      <c r="G85" s="4">
        <v>115.28</v>
      </c>
      <c r="H85" s="4">
        <v>16.670000000000002</v>
      </c>
      <c r="I85" s="4">
        <v>6901</v>
      </c>
    </row>
    <row r="86" spans="1:9" x14ac:dyDescent="0.35">
      <c r="A86" s="2">
        <v>46003</v>
      </c>
      <c r="B86" s="3">
        <v>83</v>
      </c>
      <c r="C86" s="4">
        <v>61.66</v>
      </c>
      <c r="D86" s="4">
        <v>298.72000000000003</v>
      </c>
      <c r="E86" s="4">
        <v>571.07000000000005</v>
      </c>
      <c r="F86" s="4">
        <v>309.29000000000002</v>
      </c>
      <c r="G86" s="4">
        <v>116.7</v>
      </c>
      <c r="H86" s="4">
        <v>16.670000000000002</v>
      </c>
      <c r="I86" s="4">
        <v>6827.41</v>
      </c>
    </row>
    <row r="87" spans="1:9" x14ac:dyDescent="0.35">
      <c r="A87" s="2">
        <v>46006</v>
      </c>
      <c r="B87" s="3">
        <v>84</v>
      </c>
      <c r="C87" s="4">
        <v>60.74</v>
      </c>
      <c r="D87" s="4">
        <v>308.49</v>
      </c>
      <c r="E87" s="4">
        <v>568.28</v>
      </c>
      <c r="F87" s="4">
        <v>308.22000000000003</v>
      </c>
      <c r="G87" s="4">
        <v>116.79</v>
      </c>
      <c r="H87" s="4">
        <v>15</v>
      </c>
      <c r="I87" s="4">
        <v>6816.51</v>
      </c>
    </row>
    <row r="88" spans="1:9" x14ac:dyDescent="0.35">
      <c r="A88" s="2">
        <v>46007</v>
      </c>
      <c r="B88" s="3">
        <v>85</v>
      </c>
      <c r="C88" s="4">
        <v>61.33</v>
      </c>
      <c r="D88" s="4">
        <v>305.97000000000003</v>
      </c>
      <c r="E88" s="4">
        <v>565.16999999999996</v>
      </c>
      <c r="F88" s="4">
        <v>306.57</v>
      </c>
      <c r="G88" s="4">
        <v>115.42</v>
      </c>
      <c r="H88" s="4">
        <v>15</v>
      </c>
      <c r="I88" s="4">
        <v>6800.26</v>
      </c>
    </row>
    <row r="89" spans="1:9" x14ac:dyDescent="0.35">
      <c r="A89" s="2">
        <v>46008</v>
      </c>
      <c r="B89" s="3">
        <v>86</v>
      </c>
      <c r="C89" s="4">
        <v>60.18</v>
      </c>
      <c r="D89" s="4">
        <v>310.07</v>
      </c>
      <c r="E89" s="4">
        <v>564.62</v>
      </c>
      <c r="F89" s="4">
        <v>296.72000000000003</v>
      </c>
      <c r="G89" s="4">
        <v>115.66</v>
      </c>
      <c r="H89" s="4">
        <v>15</v>
      </c>
      <c r="I89" s="4">
        <v>6721.43</v>
      </c>
    </row>
    <row r="90" spans="1:9" x14ac:dyDescent="0.35">
      <c r="A90" s="2">
        <v>46009</v>
      </c>
      <c r="B90" s="3">
        <v>87</v>
      </c>
      <c r="C90" s="4">
        <v>59.44</v>
      </c>
      <c r="D90" s="4">
        <v>306.82</v>
      </c>
      <c r="E90" s="4">
        <v>565.36</v>
      </c>
      <c r="F90" s="4">
        <v>302.45999999999998</v>
      </c>
      <c r="G90" s="4">
        <v>114.83</v>
      </c>
      <c r="H90" s="4">
        <v>15</v>
      </c>
      <c r="I90" s="4">
        <v>6774.76</v>
      </c>
    </row>
    <row r="91" spans="1:9" x14ac:dyDescent="0.35">
      <c r="A91" s="2">
        <v>46010</v>
      </c>
      <c r="B91" s="3">
        <v>88</v>
      </c>
      <c r="C91" s="4">
        <v>59.81</v>
      </c>
      <c r="D91" s="4">
        <v>310.16000000000003</v>
      </c>
      <c r="E91" s="4">
        <v>571.37</v>
      </c>
      <c r="F91" s="4">
        <v>307.16000000000003</v>
      </c>
      <c r="G91" s="4">
        <v>114.36</v>
      </c>
      <c r="H91" s="4">
        <v>15.85</v>
      </c>
      <c r="I91" s="4">
        <v>6834.5</v>
      </c>
    </row>
    <row r="92" spans="1:9" x14ac:dyDescent="0.35">
      <c r="A92" s="2">
        <v>46013</v>
      </c>
      <c r="B92" s="3">
        <v>89</v>
      </c>
      <c r="C92" s="4">
        <v>59.86</v>
      </c>
      <c r="D92" s="4">
        <v>313.75</v>
      </c>
      <c r="E92" s="4">
        <v>574.84</v>
      </c>
      <c r="F92" s="4">
        <v>309.77999999999997</v>
      </c>
      <c r="G92" s="4">
        <v>112.6</v>
      </c>
      <c r="H92" s="4">
        <v>15.61</v>
      </c>
      <c r="I92" s="4">
        <v>6878.49</v>
      </c>
    </row>
    <row r="93" spans="1:9" x14ac:dyDescent="0.35">
      <c r="A93" s="2">
        <v>46014</v>
      </c>
      <c r="B93" s="3">
        <v>90</v>
      </c>
      <c r="C93" s="4">
        <v>59.41</v>
      </c>
      <c r="D93" s="4">
        <v>314.07</v>
      </c>
      <c r="E93" s="4">
        <v>575.49</v>
      </c>
      <c r="F93" s="4">
        <v>314.35000000000002</v>
      </c>
      <c r="G93" s="4">
        <v>110.9</v>
      </c>
      <c r="H93" s="4">
        <v>15.5</v>
      </c>
      <c r="I93" s="4">
        <v>6909.79</v>
      </c>
    </row>
    <row r="94" spans="1:9" x14ac:dyDescent="0.35">
      <c r="A94" s="2">
        <v>46015</v>
      </c>
      <c r="B94" s="3">
        <v>91</v>
      </c>
      <c r="C94" s="4">
        <v>60.04</v>
      </c>
      <c r="D94" s="4">
        <v>315.16000000000003</v>
      </c>
      <c r="E94" s="4">
        <v>578.58000000000004</v>
      </c>
      <c r="F94" s="4">
        <v>314.08999999999997</v>
      </c>
      <c r="G94" s="4">
        <v>111.61</v>
      </c>
      <c r="H94" s="4">
        <v>15.5</v>
      </c>
      <c r="I94" s="4">
        <v>6932.05</v>
      </c>
    </row>
    <row r="95" spans="1:9" x14ac:dyDescent="0.35">
      <c r="A95" s="2">
        <v>46017</v>
      </c>
      <c r="B95" s="3">
        <v>92</v>
      </c>
      <c r="C95" s="4">
        <v>59.97</v>
      </c>
      <c r="D95" s="4">
        <v>315.58</v>
      </c>
      <c r="E95" s="4">
        <v>578.73</v>
      </c>
      <c r="F95" s="4">
        <v>313.51</v>
      </c>
      <c r="G95" s="4">
        <v>111.74</v>
      </c>
      <c r="H95" s="4">
        <v>15.5</v>
      </c>
      <c r="I95" s="4">
        <v>6929.94</v>
      </c>
    </row>
    <row r="96" spans="1:9" x14ac:dyDescent="0.35">
      <c r="A96" s="2">
        <v>46020</v>
      </c>
      <c r="B96" s="3">
        <v>93</v>
      </c>
      <c r="C96" s="4">
        <v>59.49</v>
      </c>
      <c r="D96" s="4">
        <v>314.41000000000003</v>
      </c>
      <c r="E96" s="4">
        <v>577.03</v>
      </c>
      <c r="F96" s="4">
        <v>313.56</v>
      </c>
      <c r="G96" s="4">
        <v>112.53</v>
      </c>
      <c r="H96" s="4">
        <v>15.97</v>
      </c>
      <c r="I96" s="4">
        <v>6905.74</v>
      </c>
    </row>
    <row r="97" spans="1:9" x14ac:dyDescent="0.35">
      <c r="A97" s="2">
        <v>46021</v>
      </c>
      <c r="B97" s="3">
        <v>94</v>
      </c>
      <c r="C97" s="4">
        <v>59.1</v>
      </c>
      <c r="D97" s="4">
        <v>313.94</v>
      </c>
      <c r="E97" s="4">
        <v>576.54999999999995</v>
      </c>
      <c r="F97" s="4">
        <v>313.85000000000002</v>
      </c>
      <c r="G97" s="4">
        <v>111.92</v>
      </c>
      <c r="H97" s="4">
        <v>17.170000000000002</v>
      </c>
      <c r="I97" s="4">
        <v>6896.24</v>
      </c>
    </row>
    <row r="98" spans="1:9" x14ac:dyDescent="0.35">
      <c r="A98" s="2">
        <v>46022</v>
      </c>
      <c r="B98" s="3">
        <v>95</v>
      </c>
      <c r="C98" s="4">
        <v>58.38</v>
      </c>
      <c r="D98" s="4">
        <v>310.24</v>
      </c>
      <c r="E98" s="4">
        <v>570.02</v>
      </c>
      <c r="F98" s="4">
        <v>313</v>
      </c>
      <c r="G98" s="4">
        <v>111.41</v>
      </c>
      <c r="H98" s="4">
        <v>17.510000000000002</v>
      </c>
      <c r="I98" s="4">
        <v>6845.5</v>
      </c>
    </row>
    <row r="99" spans="1:9" x14ac:dyDescent="0.35">
      <c r="A99" s="2">
        <v>46024</v>
      </c>
      <c r="B99" s="3">
        <v>96</v>
      </c>
      <c r="C99" s="4">
        <v>58.14</v>
      </c>
      <c r="D99" s="4">
        <v>313.41000000000003</v>
      </c>
      <c r="E99" s="4">
        <v>562.29</v>
      </c>
      <c r="F99" s="4">
        <v>315.14999999999998</v>
      </c>
      <c r="G99" s="4">
        <v>112.76</v>
      </c>
      <c r="H99" s="4">
        <v>17.510000000000002</v>
      </c>
      <c r="I99" s="4">
        <v>6858.47</v>
      </c>
    </row>
    <row r="100" spans="1:9" x14ac:dyDescent="0.35">
      <c r="A100" s="2">
        <v>46027</v>
      </c>
      <c r="B100" s="3">
        <v>97</v>
      </c>
      <c r="C100" s="4">
        <v>59.29</v>
      </c>
      <c r="D100" s="4">
        <v>311.02999999999997</v>
      </c>
      <c r="E100" s="4">
        <v>567.72</v>
      </c>
      <c r="F100" s="4">
        <v>316.54000000000002</v>
      </c>
      <c r="G100" s="4">
        <v>112.71</v>
      </c>
      <c r="H100" s="4">
        <v>19.5</v>
      </c>
      <c r="I100" s="4">
        <v>6902.05</v>
      </c>
    </row>
    <row r="101" spans="1:9" x14ac:dyDescent="0.35">
      <c r="A101" s="2">
        <v>46028</v>
      </c>
      <c r="B101" s="3">
        <v>98</v>
      </c>
      <c r="C101" s="4">
        <v>59.81</v>
      </c>
      <c r="D101" s="4">
        <v>321.86</v>
      </c>
      <c r="E101" s="4">
        <v>579.47</v>
      </c>
      <c r="F101" s="4">
        <v>314.33999999999997</v>
      </c>
      <c r="G101" s="4">
        <v>114.34</v>
      </c>
      <c r="H101" s="4">
        <v>19.12</v>
      </c>
      <c r="I101" s="4">
        <v>6944.82</v>
      </c>
    </row>
    <row r="102" spans="1:9" x14ac:dyDescent="0.35">
      <c r="A102" s="2">
        <v>46029</v>
      </c>
      <c r="B102" s="3">
        <v>99</v>
      </c>
      <c r="C102" s="4">
        <v>58.51</v>
      </c>
      <c r="D102" s="4">
        <v>319.26</v>
      </c>
      <c r="E102" s="4">
        <v>579.04999999999995</v>
      </c>
      <c r="F102" s="4">
        <v>321.98</v>
      </c>
      <c r="G102" s="4">
        <v>112.72</v>
      </c>
      <c r="H102" s="4">
        <v>19.12</v>
      </c>
      <c r="I102" s="4">
        <v>6920.93</v>
      </c>
    </row>
    <row r="103" spans="1:9" x14ac:dyDescent="0.35">
      <c r="A103" s="2">
        <v>46030</v>
      </c>
      <c r="B103" s="3">
        <v>100</v>
      </c>
      <c r="C103" s="4">
        <v>58.27</v>
      </c>
      <c r="D103" s="4">
        <v>324.91000000000003</v>
      </c>
      <c r="E103" s="4">
        <v>579.20000000000005</v>
      </c>
      <c r="F103" s="4">
        <v>325.44</v>
      </c>
      <c r="G103" s="4">
        <v>113.07</v>
      </c>
      <c r="H103" s="4">
        <v>19</v>
      </c>
      <c r="I103" s="4">
        <v>6921.46</v>
      </c>
    </row>
    <row r="104" spans="1:9" x14ac:dyDescent="0.35">
      <c r="A104" s="2">
        <v>46031</v>
      </c>
      <c r="B104" s="3">
        <v>101</v>
      </c>
      <c r="C104" s="4">
        <v>57.66</v>
      </c>
      <c r="D104" s="4">
        <v>328.18</v>
      </c>
      <c r="E104" s="4">
        <v>575.54</v>
      </c>
      <c r="F104" s="4">
        <v>328.57</v>
      </c>
      <c r="G104" s="4">
        <v>114.53</v>
      </c>
      <c r="H104" s="4">
        <v>18.100000000000001</v>
      </c>
      <c r="I104" s="4">
        <v>6966.28</v>
      </c>
    </row>
    <row r="105" spans="1:9" x14ac:dyDescent="0.35">
      <c r="A105" s="2">
        <v>46034</v>
      </c>
      <c r="B105" s="3">
        <v>102</v>
      </c>
      <c r="C105" s="4">
        <v>57.29</v>
      </c>
      <c r="D105" s="4">
        <v>323.35000000000002</v>
      </c>
      <c r="E105" s="4">
        <v>566.28</v>
      </c>
      <c r="F105" s="4">
        <v>331.86</v>
      </c>
      <c r="G105" s="4">
        <v>117.97</v>
      </c>
      <c r="H105" s="4">
        <v>17.5</v>
      </c>
      <c r="I105" s="4">
        <v>6977.27</v>
      </c>
    </row>
    <row r="106" spans="1:9" x14ac:dyDescent="0.35">
      <c r="A106" s="2">
        <v>46035</v>
      </c>
      <c r="B106" s="3">
        <v>103</v>
      </c>
      <c r="C106" s="4">
        <v>56.56</v>
      </c>
      <c r="D106" s="4">
        <v>322.95999999999998</v>
      </c>
      <c r="E106" s="4">
        <v>544.99</v>
      </c>
      <c r="F106" s="4">
        <v>335.97</v>
      </c>
      <c r="G106" s="4">
        <v>120.36</v>
      </c>
      <c r="H106" s="4">
        <v>18.25</v>
      </c>
      <c r="I106" s="4">
        <v>6963.74</v>
      </c>
    </row>
    <row r="107" spans="1:9" x14ac:dyDescent="0.35">
      <c r="A107" s="2">
        <v>46036</v>
      </c>
      <c r="B107" s="3">
        <v>104</v>
      </c>
      <c r="C107" s="4">
        <v>57.66</v>
      </c>
      <c r="D107" s="4">
        <v>319.68</v>
      </c>
      <c r="E107" s="4">
        <v>546.82000000000005</v>
      </c>
      <c r="F107" s="4">
        <v>335.84</v>
      </c>
      <c r="G107" s="4">
        <v>120.04</v>
      </c>
      <c r="H107" s="4">
        <v>18.75</v>
      </c>
      <c r="I107" s="4">
        <v>6926.6</v>
      </c>
    </row>
    <row r="108" spans="1:9" x14ac:dyDescent="0.35">
      <c r="A108" s="2">
        <v>46037</v>
      </c>
      <c r="B108" s="3">
        <v>105</v>
      </c>
      <c r="C108" s="4">
        <v>56.74</v>
      </c>
      <c r="D108" s="4">
        <v>325.79000000000002</v>
      </c>
      <c r="E108" s="4">
        <v>542.65</v>
      </c>
      <c r="F108" s="4">
        <v>332.78</v>
      </c>
      <c r="G108" s="4">
        <v>119.2</v>
      </c>
      <c r="H108" s="4">
        <v>18.46</v>
      </c>
      <c r="I108" s="4">
        <v>6944.47</v>
      </c>
    </row>
    <row r="109" spans="1:9" x14ac:dyDescent="0.35">
      <c r="A109" s="2">
        <v>46038</v>
      </c>
      <c r="B109" s="3">
        <v>106</v>
      </c>
      <c r="C109" s="4">
        <v>56.89</v>
      </c>
      <c r="D109" s="4">
        <v>325.88</v>
      </c>
      <c r="E109" s="4">
        <v>539.49</v>
      </c>
      <c r="F109" s="4">
        <v>330</v>
      </c>
      <c r="G109" s="4">
        <v>119.7</v>
      </c>
      <c r="H109" s="4">
        <v>17</v>
      </c>
      <c r="I109" s="4">
        <v>6940.01</v>
      </c>
    </row>
    <row r="110" spans="1:9" x14ac:dyDescent="0.35">
      <c r="A110" s="2">
        <v>46042</v>
      </c>
      <c r="B110" s="3">
        <v>107</v>
      </c>
      <c r="C110" s="4">
        <v>55.08</v>
      </c>
      <c r="D110" s="4">
        <v>313.83999999999997</v>
      </c>
      <c r="E110" s="4">
        <v>531.74</v>
      </c>
      <c r="F110" s="4">
        <v>322</v>
      </c>
      <c r="G110" s="4">
        <v>118.71</v>
      </c>
      <c r="H110" s="4">
        <v>17.739999999999998</v>
      </c>
      <c r="I110" s="4">
        <v>6796.86</v>
      </c>
    </row>
    <row r="111" spans="1:9" x14ac:dyDescent="0.35">
      <c r="A111" s="2">
        <v>46043</v>
      </c>
      <c r="B111" s="3">
        <v>108</v>
      </c>
      <c r="C111" s="4">
        <v>55.89</v>
      </c>
      <c r="D111" s="4">
        <v>320.56</v>
      </c>
      <c r="E111" s="4">
        <v>527.57000000000005</v>
      </c>
      <c r="F111" s="4">
        <v>328.38</v>
      </c>
      <c r="G111" s="4">
        <v>119.36</v>
      </c>
      <c r="H111" s="4">
        <v>18</v>
      </c>
      <c r="I111" s="4">
        <v>6875.62</v>
      </c>
    </row>
    <row r="112" spans="1:9" x14ac:dyDescent="0.35">
      <c r="A112" s="2">
        <v>46044</v>
      </c>
      <c r="B112" s="3">
        <v>109</v>
      </c>
      <c r="C112" s="4">
        <v>57.15</v>
      </c>
      <c r="D112" s="4">
        <v>321.67</v>
      </c>
      <c r="E112" s="4">
        <v>532.86</v>
      </c>
      <c r="F112" s="4">
        <v>330.54</v>
      </c>
      <c r="G112" s="4">
        <v>117.83</v>
      </c>
      <c r="H112" s="4">
        <v>20.41</v>
      </c>
      <c r="I112" s="4">
        <v>6913.35</v>
      </c>
    </row>
    <row r="113" spans="1:9" x14ac:dyDescent="0.35">
      <c r="A113" s="2">
        <v>46045</v>
      </c>
      <c r="B113" s="3">
        <v>110</v>
      </c>
      <c r="C113" s="4">
        <v>56.62</v>
      </c>
      <c r="D113" s="4">
        <v>319.7</v>
      </c>
      <c r="E113" s="4">
        <v>524.74</v>
      </c>
      <c r="F113" s="4">
        <v>327.93</v>
      </c>
      <c r="G113" s="4">
        <v>117.73</v>
      </c>
      <c r="H113" s="4">
        <v>19.95</v>
      </c>
      <c r="I113" s="4">
        <v>6915.61</v>
      </c>
    </row>
    <row r="114" spans="1:9" x14ac:dyDescent="0.35">
      <c r="A114" s="2">
        <v>46048</v>
      </c>
      <c r="B114" s="3">
        <v>111</v>
      </c>
      <c r="C114" s="4">
        <v>56.6</v>
      </c>
      <c r="D114" s="4">
        <v>316.7</v>
      </c>
      <c r="E114" s="4">
        <v>527.36</v>
      </c>
      <c r="F114" s="4">
        <v>333.26</v>
      </c>
      <c r="G114" s="4">
        <v>117.64</v>
      </c>
      <c r="H114" s="4">
        <v>19.95</v>
      </c>
      <c r="I114" s="4">
        <v>6950.23</v>
      </c>
    </row>
    <row r="115" spans="1:9" x14ac:dyDescent="0.35">
      <c r="A115" s="2">
        <v>46049</v>
      </c>
      <c r="B115" s="3">
        <v>112</v>
      </c>
      <c r="C115" s="4">
        <v>55.51</v>
      </c>
      <c r="D115" s="4">
        <v>313.95</v>
      </c>
      <c r="E115" s="4">
        <v>520.41</v>
      </c>
      <c r="F115" s="4">
        <v>334.55</v>
      </c>
      <c r="G115" s="4">
        <v>116.94</v>
      </c>
      <c r="H115" s="4">
        <v>19.88</v>
      </c>
      <c r="I115" s="4">
        <v>6978.6</v>
      </c>
    </row>
    <row r="116" spans="1:9" x14ac:dyDescent="0.35">
      <c r="A116" s="2">
        <v>46050</v>
      </c>
      <c r="B116" s="3">
        <v>113</v>
      </c>
      <c r="C116" s="4">
        <v>54.08</v>
      </c>
      <c r="D116" s="4">
        <v>312.07</v>
      </c>
      <c r="E116" s="4">
        <v>521.37</v>
      </c>
      <c r="F116" s="4">
        <v>336.01</v>
      </c>
      <c r="G116" s="4">
        <v>116.57</v>
      </c>
      <c r="H116" s="4">
        <v>19.88</v>
      </c>
      <c r="I116" s="4">
        <v>6978.03</v>
      </c>
    </row>
    <row r="117" spans="1:9" x14ac:dyDescent="0.35">
      <c r="A117" s="2">
        <v>46051</v>
      </c>
      <c r="B117" s="3">
        <v>114</v>
      </c>
      <c r="C117" s="4">
        <v>53.11</v>
      </c>
      <c r="D117" s="4">
        <v>319.77</v>
      </c>
      <c r="E117" s="4">
        <v>543.73</v>
      </c>
      <c r="F117" s="4">
        <v>338.25</v>
      </c>
      <c r="G117" s="4">
        <v>117.41</v>
      </c>
      <c r="H117" s="4">
        <v>19.64</v>
      </c>
      <c r="I117" s="4">
        <v>6969.01</v>
      </c>
    </row>
    <row r="118" spans="1:9" x14ac:dyDescent="0.35">
      <c r="A118" s="2">
        <v>46052</v>
      </c>
      <c r="B118" s="3">
        <v>115</v>
      </c>
      <c r="C118" s="4">
        <v>52.69</v>
      </c>
      <c r="D118" s="4">
        <v>315.3</v>
      </c>
      <c r="E118" s="4">
        <v>538.79</v>
      </c>
      <c r="F118" s="4">
        <v>338</v>
      </c>
      <c r="G118" s="4">
        <v>119.14</v>
      </c>
      <c r="H118" s="4">
        <v>19.46</v>
      </c>
      <c r="I118" s="4">
        <v>6939.03</v>
      </c>
    </row>
    <row r="119" spans="1:9" x14ac:dyDescent="0.35">
      <c r="A119" s="2">
        <v>46055</v>
      </c>
      <c r="B119" s="3">
        <v>116</v>
      </c>
      <c r="C119" s="4">
        <v>52.33</v>
      </c>
      <c r="D119" s="4">
        <v>319.29000000000002</v>
      </c>
      <c r="E119" s="4">
        <v>555.37</v>
      </c>
      <c r="F119" s="4">
        <v>343.69</v>
      </c>
      <c r="G119" s="4">
        <v>124.06</v>
      </c>
      <c r="H119" s="4">
        <v>19.46</v>
      </c>
      <c r="I119" s="4">
        <v>6976.44</v>
      </c>
    </row>
    <row r="120" spans="1:9" x14ac:dyDescent="0.35">
      <c r="A120" s="2">
        <v>46056</v>
      </c>
      <c r="B120" s="3">
        <v>117</v>
      </c>
      <c r="C120" s="4">
        <v>41.7</v>
      </c>
      <c r="D120" s="4">
        <v>318.42</v>
      </c>
      <c r="E120" s="4">
        <v>550.72</v>
      </c>
      <c r="F120" s="4">
        <v>339.71</v>
      </c>
      <c r="G120" s="4">
        <v>127.71</v>
      </c>
      <c r="H120" s="4">
        <v>19.46</v>
      </c>
      <c r="I120" s="4">
        <v>6917.81</v>
      </c>
    </row>
    <row r="121" spans="1:9" x14ac:dyDescent="0.35">
      <c r="A121" s="2">
        <v>46057</v>
      </c>
      <c r="B121" s="3">
        <v>118</v>
      </c>
      <c r="C121" s="4">
        <v>41.03</v>
      </c>
      <c r="D121" s="4">
        <v>324.56</v>
      </c>
      <c r="E121" s="4">
        <v>553.52</v>
      </c>
      <c r="F121" s="4">
        <v>333.04</v>
      </c>
      <c r="G121" s="4">
        <v>128</v>
      </c>
      <c r="H121" s="4">
        <v>19.46</v>
      </c>
      <c r="I121" s="4">
        <v>6882.72</v>
      </c>
    </row>
    <row r="122" spans="1:9" x14ac:dyDescent="0.35">
      <c r="A122" s="2">
        <v>46058</v>
      </c>
      <c r="B122" s="3">
        <v>119</v>
      </c>
      <c r="C122" s="4">
        <v>39.9</v>
      </c>
      <c r="D122" s="4">
        <v>326.45</v>
      </c>
      <c r="E122" s="4">
        <v>551.89</v>
      </c>
      <c r="F122" s="4">
        <v>331.25</v>
      </c>
      <c r="G122" s="4">
        <v>126.94</v>
      </c>
      <c r="H122" s="4">
        <v>19.46</v>
      </c>
      <c r="I122" s="4">
        <v>6798.4</v>
      </c>
    </row>
    <row r="123" spans="1:9" x14ac:dyDescent="0.35">
      <c r="A123" s="2">
        <v>46059</v>
      </c>
      <c r="B123" s="3">
        <v>120</v>
      </c>
      <c r="C123" s="4">
        <v>40.42</v>
      </c>
      <c r="D123" s="4">
        <v>333.24</v>
      </c>
      <c r="E123" s="4">
        <v>548.74</v>
      </c>
      <c r="F123" s="4">
        <v>322.86</v>
      </c>
      <c r="G123" s="4">
        <v>131.18</v>
      </c>
      <c r="H123" s="4">
        <v>19.46</v>
      </c>
      <c r="I123" s="4">
        <v>6932.3</v>
      </c>
    </row>
    <row r="124" spans="1:9" x14ac:dyDescent="0.35">
      <c r="A124" s="2">
        <v>46062</v>
      </c>
      <c r="B124" s="3">
        <v>121</v>
      </c>
      <c r="C124" s="4">
        <v>41.15</v>
      </c>
      <c r="D124" s="4">
        <v>331.21</v>
      </c>
      <c r="E124" s="4">
        <v>535.33000000000004</v>
      </c>
      <c r="F124" s="4">
        <v>324.32</v>
      </c>
      <c r="G124" s="4">
        <v>129.02000000000001</v>
      </c>
      <c r="H124" s="4">
        <v>18.399999999999999</v>
      </c>
      <c r="I124" s="4">
        <v>6964.82</v>
      </c>
    </row>
    <row r="125" spans="1:9" x14ac:dyDescent="0.35">
      <c r="A125" s="2">
        <v>46063</v>
      </c>
      <c r="B125" s="3">
        <v>122</v>
      </c>
      <c r="C125" s="4">
        <v>41.49</v>
      </c>
      <c r="D125" s="4">
        <v>359.35</v>
      </c>
      <c r="E125" s="4">
        <v>540.39</v>
      </c>
      <c r="F125" s="4">
        <v>318.58</v>
      </c>
      <c r="G125" s="4">
        <v>126.7</v>
      </c>
      <c r="H125" s="4">
        <v>18.3</v>
      </c>
      <c r="I125" s="4">
        <v>6941.81</v>
      </c>
    </row>
    <row r="126" spans="1:9" x14ac:dyDescent="0.35">
      <c r="A126" s="2">
        <v>46064</v>
      </c>
      <c r="B126" s="3">
        <v>123</v>
      </c>
      <c r="C126" s="4">
        <v>40.46</v>
      </c>
      <c r="D126" s="4">
        <v>358.75</v>
      </c>
      <c r="E126" s="4">
        <v>537.46</v>
      </c>
      <c r="F126" s="4">
        <v>310.95999999999998</v>
      </c>
      <c r="G126" s="4">
        <v>128.77000000000001</v>
      </c>
      <c r="H126" s="4">
        <v>18.3</v>
      </c>
      <c r="I126" s="4">
        <v>6941.47</v>
      </c>
    </row>
    <row r="127" spans="1:9" x14ac:dyDescent="0.35">
      <c r="A127" s="2">
        <v>46065</v>
      </c>
      <c r="B127" s="3">
        <v>124</v>
      </c>
      <c r="C127" s="4">
        <v>39.08</v>
      </c>
      <c r="D127" s="4">
        <v>355.08</v>
      </c>
      <c r="E127" s="4">
        <v>527.46</v>
      </c>
      <c r="F127" s="4">
        <v>309</v>
      </c>
      <c r="G127" s="4">
        <v>133.63999999999999</v>
      </c>
      <c r="H127" s="4">
        <v>17.940000000000001</v>
      </c>
      <c r="I127" s="4">
        <v>6832.76</v>
      </c>
    </row>
    <row r="128" spans="1:9" x14ac:dyDescent="0.35">
      <c r="A128" s="2">
        <v>46066</v>
      </c>
      <c r="B128" s="3">
        <v>125</v>
      </c>
      <c r="C128" s="4">
        <v>40.29</v>
      </c>
      <c r="D128" s="4">
        <v>353.89</v>
      </c>
      <c r="E128" s="4">
        <v>518.36</v>
      </c>
      <c r="F128" s="4">
        <v>305.72000000000003</v>
      </c>
      <c r="G128" s="4">
        <v>133.88999999999999</v>
      </c>
      <c r="H128" s="4">
        <v>17.940000000000001</v>
      </c>
      <c r="I128" s="4">
        <v>6836.17</v>
      </c>
    </row>
    <row r="129" spans="1:9" x14ac:dyDescent="0.35">
      <c r="A129" s="2">
        <v>46070</v>
      </c>
      <c r="B129" s="3">
        <v>126</v>
      </c>
      <c r="C129" s="4">
        <v>40.81</v>
      </c>
      <c r="D129" s="4">
        <v>359.94</v>
      </c>
      <c r="E129" s="4">
        <v>521.92999999999995</v>
      </c>
      <c r="F129" s="4">
        <v>302.02</v>
      </c>
      <c r="G129" s="4">
        <v>128.85</v>
      </c>
      <c r="H129" s="4">
        <v>17.940000000000001</v>
      </c>
      <c r="I129" s="4">
        <v>6843.22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5"/>
  <sheetViews>
    <sheetView topLeftCell="A131" workbookViewId="0">
      <selection activeCell="B144" sqref="B144"/>
    </sheetView>
  </sheetViews>
  <sheetFormatPr defaultRowHeight="14.5" x14ac:dyDescent="0.35"/>
  <cols>
    <col min="1" max="1" width="17.453125" bestFit="1" customWidth="1"/>
    <col min="2" max="12" width="15" customWidth="1"/>
  </cols>
  <sheetData>
    <row r="1" spans="1:12" ht="18.5" x14ac:dyDescent="0.45">
      <c r="A1" s="28" t="s">
        <v>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3" spans="1:12" ht="15.5" x14ac:dyDescent="0.35">
      <c r="A3" s="33" t="s">
        <v>12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5" spans="1:12" x14ac:dyDescent="0.35">
      <c r="A5" s="1" t="s">
        <v>2</v>
      </c>
      <c r="B5" s="1" t="s">
        <v>3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/>
      <c r="K5" s="1"/>
    </row>
    <row r="6" spans="1:12" x14ac:dyDescent="0.35">
      <c r="A6" s="2">
        <f>'📊 Цены'!A5</f>
        <v>45888</v>
      </c>
      <c r="B6" s="3">
        <v>2</v>
      </c>
      <c r="C6" s="5">
        <f>('📊 Цены'!C5-'📊 Цены'!C4)/'📊 Цены'!C4</f>
        <v>-6.9194176156840703E-3</v>
      </c>
      <c r="D6" s="5">
        <f>('📊 Цены'!D5-'📊 Цены'!D4)/'📊 Цены'!D4</f>
        <v>1.9248188405798904E-3</v>
      </c>
      <c r="E6" s="5">
        <f>('📊 Цены'!E5-'📊 Цены'!E4)/'📊 Цены'!E4</f>
        <v>2.351971707668809E-3</v>
      </c>
      <c r="F6" s="5">
        <f>('📊 Цены'!F5-'📊 Цены'!F4)/'📊 Цены'!F4</f>
        <v>-9.4984989418770947E-3</v>
      </c>
      <c r="G6" s="5">
        <f>('📊 Цены'!G5-'📊 Цены'!G4)/'📊 Цены'!G4</f>
        <v>5.771144278606948E-3</v>
      </c>
      <c r="H6" s="5">
        <f>('📊 Цены'!H5-'📊 Цены'!H4)/'📊 Цены'!H4</f>
        <v>0</v>
      </c>
      <c r="I6" s="5">
        <f>('📊 Цены'!I5-'📊 Цены'!I4)/'📊 Цены'!I4</f>
        <v>-5.8581363435491109E-3</v>
      </c>
      <c r="K6" s="31" t="s">
        <v>20</v>
      </c>
      <c r="L6" s="32"/>
    </row>
    <row r="7" spans="1:12" x14ac:dyDescent="0.35">
      <c r="A7" s="2">
        <f>'📊 Цены'!A6</f>
        <v>45889</v>
      </c>
      <c r="B7" s="3">
        <v>3</v>
      </c>
      <c r="C7" s="5">
        <f>('📊 Цены'!C6-'📊 Цены'!C5)/'📊 Цены'!C5</f>
        <v>-1.4080418057773245E-2</v>
      </c>
      <c r="D7" s="5">
        <f>('📊 Цены'!D6-'📊 Цены'!D5)/'📊 Цены'!D5</f>
        <v>-1.2167099860624619E-2</v>
      </c>
      <c r="E7" s="5">
        <f>('📊 Цены'!E6-'📊 Цены'!E5)/'📊 Цены'!E5</f>
        <v>1.2246086390573044E-2</v>
      </c>
      <c r="F7" s="5">
        <f>('📊 Цены'!F6-'📊 Цены'!F5)/'📊 Цены'!F5</f>
        <v>-1.1179568717082382E-2</v>
      </c>
      <c r="G7" s="5">
        <f>('📊 Цены'!G6-'📊 Цены'!G5)/'📊 Цены'!G5</f>
        <v>1.2663237039968354E-2</v>
      </c>
      <c r="H7" s="5">
        <f>('📊 Цены'!H6-'📊 Цены'!H5)/'📊 Цены'!H5</f>
        <v>0</v>
      </c>
      <c r="I7" s="5">
        <f>('📊 Цены'!I6-'📊 Цены'!I5)/'📊 Цены'!I5</f>
        <v>-2.4316175793941304E-3</v>
      </c>
    </row>
    <row r="8" spans="1:12" x14ac:dyDescent="0.35">
      <c r="A8" s="2">
        <f>'📊 Цены'!A7</f>
        <v>45890</v>
      </c>
      <c r="B8" s="3">
        <v>4</v>
      </c>
      <c r="C8" s="5">
        <f>('📊 Цены'!C7-'📊 Цены'!C6)/'📊 Цены'!C6</f>
        <v>-7.8032979976443038E-3</v>
      </c>
      <c r="D8" s="5">
        <f>('📊 Цены'!D7-'📊 Цены'!D6)/'📊 Цены'!D6</f>
        <v>-2.2498474679683946E-3</v>
      </c>
      <c r="E8" s="5">
        <f>('📊 Цены'!E7-'📊 Цены'!E6)/'📊 Цены'!E6</f>
        <v>-1.2859342481514541E-3</v>
      </c>
      <c r="F8" s="5">
        <f>('📊 Цены'!F7-'📊 Цены'!F6)/'📊 Цены'!F6</f>
        <v>2.1606954424401126E-3</v>
      </c>
      <c r="G8" s="5">
        <f>('📊 Цены'!G7-'📊 Цены'!G6)/'📊 Цены'!G6</f>
        <v>-4.493942946463457E-2</v>
      </c>
      <c r="H8" s="5">
        <f>('📊 Цены'!H7-'📊 Цены'!H6)/'📊 Цены'!H6</f>
        <v>0</v>
      </c>
      <c r="I8" s="5">
        <f>('📊 Цены'!I7-'📊 Цены'!I6)/'📊 Цены'!I6</f>
        <v>-4.0042027712022107E-3</v>
      </c>
    </row>
    <row r="9" spans="1:12" x14ac:dyDescent="0.35">
      <c r="A9" s="2">
        <f>'📊 Цены'!A8</f>
        <v>45891</v>
      </c>
      <c r="B9" s="3">
        <v>5</v>
      </c>
      <c r="C9" s="5">
        <f>('📊 Цены'!C8-'📊 Цены'!C7)/'📊 Цены'!C7</f>
        <v>3.4871642676954952E-2</v>
      </c>
      <c r="D9" s="5">
        <f>('📊 Цены'!D8-'📊 Цены'!D7)/'📊 Цены'!D7</f>
        <v>4.4028282056182075E-2</v>
      </c>
      <c r="E9" s="5">
        <f>('📊 Цены'!E8-'📊 Цены'!E7)/'📊 Цены'!E7</f>
        <v>1.1893265565438342E-2</v>
      </c>
      <c r="F9" s="5">
        <f>('📊 Цены'!F8-'📊 Цены'!F7)/'📊 Цены'!F7</f>
        <v>3.1738868832731713E-2</v>
      </c>
      <c r="G9" s="5">
        <f>('📊 Цены'!G8-'📊 Цены'!G7)/'📊 Цены'!G7</f>
        <v>-1.1558919803600753E-2</v>
      </c>
      <c r="H9" s="5">
        <f>('📊 Цены'!H8-'📊 Цены'!H7)/'📊 Цены'!H7</f>
        <v>0</v>
      </c>
      <c r="I9" s="5">
        <f>('📊 Цены'!I8-'📊 Цены'!I7)/'📊 Цены'!I7</f>
        <v>1.518640789806234E-2</v>
      </c>
    </row>
    <row r="10" spans="1:12" x14ac:dyDescent="0.35">
      <c r="A10" s="2">
        <f>'📊 Цены'!A9</f>
        <v>45894</v>
      </c>
      <c r="B10" s="3">
        <v>6</v>
      </c>
      <c r="C10" s="5">
        <f>('📊 Цены'!C9-'📊 Цены'!C8)/'📊 Цены'!C8</f>
        <v>-6.0223687983940602E-3</v>
      </c>
      <c r="D10" s="5">
        <f>('📊 Цены'!D9-'📊 Цены'!D8)/'📊 Цены'!D8</f>
        <v>-1.9035765274371227E-2</v>
      </c>
      <c r="E10" s="5">
        <f>('📊 Цены'!E9-'📊 Цены'!E8)/'📊 Цены'!E8</f>
        <v>-9.5936511125621887E-3</v>
      </c>
      <c r="F10" s="5">
        <f>('📊 Цены'!F9-'📊 Цены'!F8)/'📊 Цены'!F8</f>
        <v>1.166350779997073E-2</v>
      </c>
      <c r="G10" s="5">
        <f>('📊 Цены'!G9-'📊 Цены'!G8)/'📊 Цены'!G8</f>
        <v>-7.8650522612024321E-3</v>
      </c>
      <c r="H10" s="5">
        <f>('📊 Цены'!H9-'📊 Цены'!H8)/'📊 Цены'!H8</f>
        <v>9.8920863309353603E-3</v>
      </c>
      <c r="I10" s="5">
        <f>('📊 Цены'!I9-'📊 Цены'!I8)/'📊 Цены'!I8</f>
        <v>-4.2663343080389469E-3</v>
      </c>
    </row>
    <row r="11" spans="1:12" x14ac:dyDescent="0.35">
      <c r="A11" s="2">
        <f>'📊 Цены'!A10</f>
        <v>45895</v>
      </c>
      <c r="B11" s="3">
        <v>7</v>
      </c>
      <c r="C11" s="5">
        <f>('📊 Цены'!C10-'📊 Цены'!C9)/'📊 Цены'!C9</f>
        <v>1.0098095787651513E-2</v>
      </c>
      <c r="D11" s="5">
        <f>('📊 Цены'!D10-'📊 Цены'!D9)/'📊 Цены'!D9</f>
        <v>-2.7988207635183042E-3</v>
      </c>
      <c r="E11" s="5">
        <f>('📊 Цены'!E10-'📊 Цены'!E9)/'📊 Цены'!E9</f>
        <v>-2.7048044088310327E-3</v>
      </c>
      <c r="F11" s="5">
        <f>('📊 Цены'!F10-'📊 Цены'!F9)/'📊 Цены'!F9</f>
        <v>-6.4850843060959527E-3</v>
      </c>
      <c r="G11" s="5">
        <f>('📊 Цены'!G10-'📊 Цены'!G9)/'📊 Цены'!G9</f>
        <v>-2.0861583394190289E-4</v>
      </c>
      <c r="H11" s="5">
        <f>('📊 Цены'!H10-'📊 Цены'!H9)/'📊 Цены'!H9</f>
        <v>-2.6714158504008135E-3</v>
      </c>
      <c r="I11" s="5">
        <f>('📊 Цены'!I10-'📊 Цены'!I9)/'📊 Цены'!I9</f>
        <v>4.133976879546271E-3</v>
      </c>
    </row>
    <row r="12" spans="1:12" x14ac:dyDescent="0.35">
      <c r="A12" s="2">
        <f>'📊 Цены'!A11</f>
        <v>45896</v>
      </c>
      <c r="B12" s="3">
        <v>8</v>
      </c>
      <c r="C12" s="5">
        <f>('📊 Цены'!C11-'📊 Цены'!C10)/'📊 Цены'!C10</f>
        <v>-7.569265924021725E-3</v>
      </c>
      <c r="D12" s="5">
        <f>('📊 Цены'!D11-'📊 Цены'!D10)/'📊 Цены'!D10</f>
        <v>6.7734451014143599E-3</v>
      </c>
      <c r="E12" s="5">
        <f>('📊 Цены'!E11-'📊 Цены'!E10)/'📊 Цены'!E10</f>
        <v>-1.5933823778690281E-3</v>
      </c>
      <c r="F12" s="5">
        <f>('📊 Цены'!F11-'📊 Цены'!F10)/'📊 Цены'!F10</f>
        <v>1.6439415917222872E-3</v>
      </c>
      <c r="G12" s="5">
        <f>('📊 Цены'!G11-'📊 Цены'!G10)/'📊 Цены'!G10</f>
        <v>3.1298904538342348E-4</v>
      </c>
      <c r="H12" s="5">
        <f>('📊 Цены'!H11-'📊 Цены'!H10)/'📊 Цены'!H10</f>
        <v>0</v>
      </c>
      <c r="I12" s="5">
        <f>('📊 Цены'!I11-'📊 Цены'!I10)/'📊 Цены'!I10</f>
        <v>2.3909903277791068E-3</v>
      </c>
    </row>
    <row r="13" spans="1:12" x14ac:dyDescent="0.35">
      <c r="A13" s="2">
        <f>'📊 Цены'!A12</f>
        <v>45897</v>
      </c>
      <c r="B13" s="3">
        <v>9</v>
      </c>
      <c r="C13" s="5">
        <f>('📊 Цены'!C12-'📊 Цены'!C11)/'📊 Цены'!C11</f>
        <v>5.9001295150382911E-3</v>
      </c>
      <c r="D13" s="5">
        <f>('📊 Цены'!D12-'📊 Цены'!D11)/'📊 Цены'!D11</f>
        <v>2.1558933947888378E-3</v>
      </c>
      <c r="E13" s="5">
        <f>('📊 Цены'!E12-'📊 Цены'!E11)/'📊 Цены'!E11</f>
        <v>-3.0560271646850592E-4</v>
      </c>
      <c r="F13" s="5">
        <f>('📊 Цены'!F12-'📊 Цены'!F11)/'📊 Цены'!F11</f>
        <v>2.0032824869665986E-2</v>
      </c>
      <c r="G13" s="5">
        <f>('📊 Цены'!G12-'📊 Цены'!G11)/'📊 Цены'!G11</f>
        <v>3.1289111389237734E-4</v>
      </c>
      <c r="H13" s="5">
        <f>('📊 Цены'!H12-'📊 Цены'!H11)/'📊 Цены'!H11</f>
        <v>0</v>
      </c>
      <c r="I13" s="5">
        <f>('📊 Цены'!I12-'📊 Цены'!I11)/'📊 Цены'!I11</f>
        <v>3.1567253988335911E-3</v>
      </c>
    </row>
    <row r="14" spans="1:12" x14ac:dyDescent="0.35">
      <c r="A14" s="2">
        <f>'📊 Цены'!A13</f>
        <v>45898</v>
      </c>
      <c r="B14" s="3">
        <v>10</v>
      </c>
      <c r="C14" s="5">
        <f>('📊 Цены'!C13-'📊 Цены'!C12)/'📊 Цены'!C12</f>
        <v>1.8597997138769019E-3</v>
      </c>
      <c r="D14" s="5">
        <f>('📊 Цены'!D13-'📊 Цены'!D12)/'📊 Цены'!D12</f>
        <v>-8.8275657431104021E-3</v>
      </c>
      <c r="E14" s="5">
        <f>('📊 Цены'!E13-'📊 Цены'!E12)/'📊 Цены'!E12</f>
        <v>8.1349138955877226E-3</v>
      </c>
      <c r="F14" s="5">
        <f>('📊 Цены'!F13-'📊 Цены'!F12)/'📊 Цены'!F12</f>
        <v>6.010127301121623E-3</v>
      </c>
      <c r="G14" s="5">
        <f>('📊 Цены'!G13-'📊 Цены'!G12)/'📊 Цены'!G12</f>
        <v>9.071004066312215E-3</v>
      </c>
      <c r="H14" s="5">
        <f>('📊 Цены'!H13-'📊 Цены'!H12)/'📊 Цены'!H12</f>
        <v>5.35714285714287E-2</v>
      </c>
      <c r="I14" s="5">
        <f>('📊 Цены'!I13-'📊 Цены'!I12)/'📊 Цены'!I12</f>
        <v>-6.3981691392923654E-3</v>
      </c>
    </row>
    <row r="15" spans="1:12" x14ac:dyDescent="0.35">
      <c r="A15" s="2">
        <f>'📊 Цены'!A14</f>
        <v>45902</v>
      </c>
      <c r="B15" s="3">
        <v>11</v>
      </c>
      <c r="C15" s="5">
        <f>('📊 Цены'!C14-'📊 Цены'!C13)/'📊 Цены'!C13</f>
        <v>-1.3422818791946275E-2</v>
      </c>
      <c r="D15" s="5">
        <f>('📊 Цены'!D14-'📊 Цены'!D13)/'📊 Цены'!D13</f>
        <v>-1.2610859559181245E-2</v>
      </c>
      <c r="E15" s="5">
        <f>('📊 Цены'!E14-'📊 Цены'!E13)/'📊 Цены'!E13</f>
        <v>-5.7445123902898675E-3</v>
      </c>
      <c r="F15" s="5">
        <f>('📊 Цены'!F14-'📊 Цены'!F13)/'📊 Цены'!F13</f>
        <v>-7.3384137736381702E-3</v>
      </c>
      <c r="G15" s="5">
        <f>('📊 Цены'!G14-'📊 Цены'!G13)/'📊 Цены'!G13</f>
        <v>8.9894606323621049E-3</v>
      </c>
      <c r="H15" s="5">
        <f>('📊 Цены'!H14-'📊 Цены'!H13)/'📊 Цены'!H13</f>
        <v>5.1694915254237236E-2</v>
      </c>
      <c r="I15" s="5">
        <f>('📊 Цены'!I14-'📊 Цены'!I13)/'📊 Цены'!I13</f>
        <v>-6.9223220118076138E-3</v>
      </c>
    </row>
    <row r="16" spans="1:12" x14ac:dyDescent="0.35">
      <c r="A16" s="2">
        <f>'📊 Цены'!A15</f>
        <v>45903</v>
      </c>
      <c r="B16" s="3">
        <v>12</v>
      </c>
      <c r="C16" s="5">
        <f>('📊 Цены'!C15-'📊 Цены'!C14)/'📊 Цены'!C14</f>
        <v>5.6448111159357441E-3</v>
      </c>
      <c r="D16" s="5">
        <f>('📊 Цены'!D15-'📊 Цены'!D14)/'📊 Цены'!D14</f>
        <v>2.2360342605926438E-3</v>
      </c>
      <c r="E16" s="5">
        <f>('📊 Цены'!E15-'📊 Цены'!E14)/'📊 Цены'!E14</f>
        <v>2.3890206709589429E-3</v>
      </c>
      <c r="F16" s="5">
        <f>('📊 Цены'!F15-'📊 Цены'!F14)/'📊 Цены'!F14</f>
        <v>9.1365747322528668E-2</v>
      </c>
      <c r="G16" s="5">
        <f>('📊 Цены'!G15-'📊 Цены'!G14)/'📊 Цены'!G14</f>
        <v>1.628264208909359E-2</v>
      </c>
      <c r="H16" s="5">
        <f>('📊 Цены'!H15-'📊 Цены'!H14)/'📊 Цены'!H14</f>
        <v>0</v>
      </c>
      <c r="I16" s="5">
        <f>('📊 Цены'!I15-'📊 Цены'!I14)/'📊 Цены'!I14</f>
        <v>5.1001162801572828E-3</v>
      </c>
    </row>
    <row r="17" spans="1:9" x14ac:dyDescent="0.35">
      <c r="A17" s="2">
        <f>'📊 Цены'!A16</f>
        <v>45904</v>
      </c>
      <c r="B17" s="3">
        <v>13</v>
      </c>
      <c r="C17" s="5">
        <f>('📊 Цены'!C16-'📊 Цены'!C15)/'📊 Цены'!C15</f>
        <v>-1.6983304548071485E-2</v>
      </c>
      <c r="D17" s="5">
        <f>('📊 Цены'!D16-'📊 Цены'!D15)/'📊 Цены'!D15</f>
        <v>1.4256003025146678E-2</v>
      </c>
      <c r="E17" s="5">
        <f>('📊 Цены'!E16-'📊 Цены'!E15)/'📊 Цены'!E15</f>
        <v>3.9722114230659094E-3</v>
      </c>
      <c r="F17" s="5">
        <f>('📊 Цены'!F16-'📊 Цены'!F15)/'📊 Цены'!F15</f>
        <v>7.1211463308727147E-3</v>
      </c>
      <c r="G17" s="5">
        <f>('📊 Цены'!G16-'📊 Цены'!G15)/'📊 Цены'!G15</f>
        <v>1.4913341394598992E-2</v>
      </c>
      <c r="H17" s="5">
        <f>('📊 Цены'!H16-'📊 Цены'!H15)/'📊 Цены'!H15</f>
        <v>-4.8348106365833976E-2</v>
      </c>
      <c r="I17" s="5">
        <f>('📊 Цены'!I16-'📊 Цены'!I15)/'📊 Цены'!I15</f>
        <v>8.3464376436433556E-3</v>
      </c>
    </row>
    <row r="18" spans="1:9" x14ac:dyDescent="0.35">
      <c r="A18" s="2">
        <f>'📊 Цены'!A17</f>
        <v>45905</v>
      </c>
      <c r="B18" s="3">
        <v>14</v>
      </c>
      <c r="C18" s="5">
        <f>('📊 Цены'!C17-'📊 Цены'!C16)/'📊 Цены'!C16</f>
        <v>-2.9282576866764692E-3</v>
      </c>
      <c r="D18" s="5">
        <f>('📊 Цены'!D17-'📊 Цены'!D16)/'📊 Цены'!D16</f>
        <v>-1.5435090597271056E-2</v>
      </c>
      <c r="E18" s="5">
        <f>('📊 Цены'!E17-'📊 Цены'!E16)/'📊 Цены'!E16</f>
        <v>-1.9176375513502569E-2</v>
      </c>
      <c r="F18" s="5">
        <f>('📊 Цены'!F17-'📊 Цены'!F16)/'📊 Цены'!F16</f>
        <v>1.1640941622833443E-2</v>
      </c>
      <c r="G18" s="5">
        <f>('📊 Цены'!G17-'📊 Цены'!G16)/'📊 Цены'!G16</f>
        <v>-4.0706910246226828E-3</v>
      </c>
      <c r="H18" s="5">
        <f>('📊 Цены'!H17-'📊 Цены'!H16)/'📊 Цены'!H16</f>
        <v>5.927180355630815E-2</v>
      </c>
      <c r="I18" s="5">
        <f>('📊 Цены'!I17-'📊 Цены'!I16)/'📊 Цены'!I16</f>
        <v>-3.1651410010335042E-3</v>
      </c>
    </row>
    <row r="19" spans="1:9" x14ac:dyDescent="0.35">
      <c r="A19" s="2">
        <f>'📊 Цены'!A18</f>
        <v>45908</v>
      </c>
      <c r="B19" s="3">
        <v>15</v>
      </c>
      <c r="C19" s="5">
        <f>('📊 Цены'!C18-'📊 Цены'!C17)/'📊 Цены'!C17</f>
        <v>2.0558002936857649E-3</v>
      </c>
      <c r="D19" s="5">
        <f>('📊 Цены'!D18-'📊 Цены'!D17)/'📊 Цены'!D17</f>
        <v>1.272341714631935E-2</v>
      </c>
      <c r="E19" s="5">
        <f>('📊 Цены'!E18-'📊 Цены'!E17)/'📊 Цены'!E17</f>
        <v>4.0853459670082484E-3</v>
      </c>
      <c r="F19" s="5">
        <f>('📊 Цены'!F18-'📊 Цены'!F17)/'📊 Цены'!F17</f>
        <v>-3.1963859529491991E-3</v>
      </c>
      <c r="G19" s="5">
        <f>('📊 Цены'!G18-'📊 Цены'!G17)/'📊 Цены'!G17</f>
        <v>1.7545608613298683E-2</v>
      </c>
      <c r="H19" s="5">
        <f>('📊 Цены'!H18-'📊 Цены'!H17)/'📊 Цены'!H17</f>
        <v>0.10471622701838533</v>
      </c>
      <c r="I19" s="5">
        <f>('📊 Цены'!I18-'📊 Цены'!I17)/'📊 Цены'!I17</f>
        <v>2.1059939828742785E-3</v>
      </c>
    </row>
    <row r="20" spans="1:9" x14ac:dyDescent="0.35">
      <c r="A20" s="2">
        <f>'📊 Цены'!A19</f>
        <v>45909</v>
      </c>
      <c r="B20" s="3">
        <v>16</v>
      </c>
      <c r="C20" s="5">
        <f>('📊 Цены'!C19-'📊 Цены'!C18)/'📊 Цены'!C18</f>
        <v>-1.0550996483001156E-2</v>
      </c>
      <c r="D20" s="5">
        <f>('📊 Цены'!D19-'📊 Цены'!D18)/'📊 Цены'!D18</f>
        <v>-1.5180975172001206E-2</v>
      </c>
      <c r="E20" s="5">
        <f>('📊 Цены'!E19-'📊 Цены'!E18)/'📊 Цены'!E18</f>
        <v>-4.4277288657150722E-3</v>
      </c>
      <c r="F20" s="5">
        <f>('📊 Цены'!F19-'📊 Цены'!F18)/'📊 Цены'!F18</f>
        <v>2.3857368848604101E-2</v>
      </c>
      <c r="G20" s="5">
        <f>('📊 Цены'!G19-'📊 Цены'!G18)/'📊 Цены'!G18</f>
        <v>9.7971980013766212E-5</v>
      </c>
      <c r="H20" s="5">
        <f>('📊 Цены'!H19-'📊 Цены'!H18)/'📊 Цены'!H18</f>
        <v>0</v>
      </c>
      <c r="I20" s="5">
        <f>('📊 Цены'!I19-'📊 Цены'!I18)/'📊 Цены'!I18</f>
        <v>2.6881596267984633E-3</v>
      </c>
    </row>
    <row r="21" spans="1:9" x14ac:dyDescent="0.35">
      <c r="A21" s="2">
        <f>'📊 Цены'!A20</f>
        <v>45910</v>
      </c>
      <c r="B21" s="3">
        <v>17</v>
      </c>
      <c r="C21" s="5">
        <f>('📊 Цены'!C20-'📊 Цены'!C19)/'📊 Цены'!C19</f>
        <v>-3.006516587677727E-2</v>
      </c>
      <c r="D21" s="5">
        <f>('📊 Цены'!D20-'📊 Цены'!D19)/'📊 Цены'!D19</f>
        <v>-5.9989368972586535E-3</v>
      </c>
      <c r="E21" s="5">
        <f>('📊 Цены'!E20-'📊 Цены'!E19)/'📊 Цены'!E19</f>
        <v>-7.916065663850563E-3</v>
      </c>
      <c r="F21" s="5">
        <f>('📊 Цены'!F20-'📊 Цены'!F19)/'📊 Цены'!F19</f>
        <v>-1.9209086733202822E-3</v>
      </c>
      <c r="G21" s="5">
        <f>('📊 Цены'!G20-'📊 Цены'!G19)/'📊 Цены'!G19</f>
        <v>-1.8318965517241423E-2</v>
      </c>
      <c r="H21" s="5">
        <f>('📊 Цены'!H20-'📊 Цены'!H19)/'📊 Цены'!H19</f>
        <v>-9.9131693198263454E-2</v>
      </c>
      <c r="I21" s="5">
        <f>('📊 Цены'!I20-'📊 Цены'!I19)/'📊 Цены'!I19</f>
        <v>2.9834428900241674E-3</v>
      </c>
    </row>
    <row r="22" spans="1:9" x14ac:dyDescent="0.35">
      <c r="A22" s="2">
        <f>'📊 Цены'!A21</f>
        <v>45911</v>
      </c>
      <c r="B22" s="3">
        <v>18</v>
      </c>
      <c r="C22" s="5">
        <f>('📊 Цены'!C21-'📊 Цены'!C20)/'📊 Цены'!C20</f>
        <v>2.4736601007787521E-2</v>
      </c>
      <c r="D22" s="5">
        <f>('📊 Цены'!D21-'📊 Цены'!D20)/'📊 Цены'!D20</f>
        <v>2.1046600458365129E-2</v>
      </c>
      <c r="E22" s="5">
        <f>('📊 Цены'!E21-'📊 Цены'!E20)/'📊 Цены'!E20</f>
        <v>1.6131544785807098E-2</v>
      </c>
      <c r="F22" s="5">
        <f>('📊 Цены'!F21-'📊 Цены'!F20)/'📊 Цены'!F20</f>
        <v>5.020710430525991E-3</v>
      </c>
      <c r="G22" s="5">
        <f>('📊 Цены'!G21-'📊 Цены'!G20)/'📊 Цены'!G20</f>
        <v>2.2253268136912526E-2</v>
      </c>
      <c r="H22" s="5">
        <f>('📊 Цены'!H21-'📊 Цены'!H20)/'📊 Цены'!H20</f>
        <v>0.10040160642570281</v>
      </c>
      <c r="I22" s="5">
        <f>('📊 Цены'!I21-'📊 Цены'!I20)/'📊 Цены'!I20</f>
        <v>8.4858635280862169E-3</v>
      </c>
    </row>
    <row r="23" spans="1:9" x14ac:dyDescent="0.35">
      <c r="A23" s="2">
        <f>'📊 Цены'!A22</f>
        <v>45912</v>
      </c>
      <c r="B23" s="3">
        <v>19</v>
      </c>
      <c r="C23" s="5">
        <f>('📊 Цены'!C22-'📊 Цены'!C21)/'📊 Цены'!C21</f>
        <v>-5.5133363135151919E-3</v>
      </c>
      <c r="D23" s="5">
        <f>('📊 Цены'!D22-'📊 Цены'!D21)/'📊 Цены'!D21</f>
        <v>-5.3870038532041363E-3</v>
      </c>
      <c r="E23" s="5">
        <f>('📊 Цены'!E22-'📊 Цены'!E21)/'📊 Цены'!E21</f>
        <v>-1.4120973648798401E-2</v>
      </c>
      <c r="F23" s="5">
        <f>('📊 Цены'!F22-'📊 Цены'!F21)/'📊 Цены'!F21</f>
        <v>1.7901003288788076E-3</v>
      </c>
      <c r="G23" s="5">
        <f>('📊 Цены'!G22-'📊 Цены'!G21)/'📊 Цены'!G21</f>
        <v>8.1999219055056954E-3</v>
      </c>
      <c r="H23" s="5">
        <f>('📊 Цены'!H22-'📊 Цены'!H21)/'📊 Цены'!H21</f>
        <v>5.1094890510948988E-2</v>
      </c>
      <c r="I23" s="5">
        <f>('📊 Цены'!I22-'📊 Цены'!I21)/'📊 Цены'!I21</f>
        <v>-4.827346462299321E-4</v>
      </c>
    </row>
    <row r="24" spans="1:9" x14ac:dyDescent="0.35">
      <c r="A24" s="2">
        <f>'📊 Цены'!A23</f>
        <v>45915</v>
      </c>
      <c r="B24" s="3">
        <v>20</v>
      </c>
      <c r="C24" s="5">
        <f>('📊 Цены'!C23-'📊 Цены'!C22)/'📊 Цены'!C22</f>
        <v>3.2963739886125096E-3</v>
      </c>
      <c r="D24" s="5">
        <f>('📊 Цены'!D23-'📊 Цены'!D22)/'📊 Цены'!D22</f>
        <v>-5.1152819046903133E-3</v>
      </c>
      <c r="E24" s="5">
        <f>('📊 Цены'!E23-'📊 Цены'!E22)/'📊 Цены'!E22</f>
        <v>4.3885414147000201E-3</v>
      </c>
      <c r="F24" s="5">
        <f>('📊 Цены'!F23-'📊 Цены'!F22)/'📊 Цены'!F22</f>
        <v>4.4921875000000014E-2</v>
      </c>
      <c r="G24" s="5">
        <f>('📊 Цены'!G23-'📊 Цены'!G22)/'📊 Цены'!G22</f>
        <v>1.9364833462432499E-3</v>
      </c>
      <c r="H24" s="5">
        <f>('📊 Цены'!H23-'📊 Цены'!H22)/'📊 Цены'!H22</f>
        <v>-3.1944444444444504E-2</v>
      </c>
      <c r="I24" s="5">
        <f>('📊 Цены'!I23-'📊 Цены'!I22)/'📊 Цены'!I22</f>
        <v>4.7066578173196776E-3</v>
      </c>
    </row>
    <row r="25" spans="1:9" x14ac:dyDescent="0.35">
      <c r="A25" s="2">
        <f>'📊 Цены'!A24</f>
        <v>45916</v>
      </c>
      <c r="B25" s="3">
        <v>21</v>
      </c>
      <c r="C25" s="5">
        <f>('📊 Цены'!C24-'📊 Цены'!C23)/'📊 Цены'!C23</f>
        <v>-3.8829151732376185E-3</v>
      </c>
      <c r="D25" s="5">
        <f>('📊 Цены'!D24-'📊 Цены'!D23)/'📊 Цены'!D23</f>
        <v>1.0396582359835167E-2</v>
      </c>
      <c r="E25" s="5">
        <f>('📊 Цены'!E24-'📊 Цены'!E23)/'📊 Цены'!E23</f>
        <v>5.9347691460812143E-3</v>
      </c>
      <c r="F25" s="5">
        <f>('📊 Цены'!F24-'📊 Цены'!F23)/'📊 Цены'!F23</f>
        <v>-1.7896202028235778E-3</v>
      </c>
      <c r="G25" s="5">
        <f>('📊 Цены'!G24-'📊 Цены'!G23)/'📊 Цены'!G23</f>
        <v>-2.6091998453808486E-3</v>
      </c>
      <c r="H25" s="5">
        <f>('📊 Цены'!H24-'📊 Цены'!H23)/'📊 Цены'!H23</f>
        <v>0.10473457675753235</v>
      </c>
      <c r="I25" s="5">
        <f>('📊 Цены'!I24-'📊 Цены'!I23)/'📊 Цены'!I23</f>
        <v>-1.2879273439672285E-3</v>
      </c>
    </row>
    <row r="26" spans="1:9" x14ac:dyDescent="0.35">
      <c r="A26" s="2">
        <f>'📊 Цены'!A25</f>
        <v>45917</v>
      </c>
      <c r="B26" s="3">
        <v>22</v>
      </c>
      <c r="C26" s="5">
        <f>('📊 Цены'!C25-'📊 Цены'!C24)/'📊 Цены'!C24</f>
        <v>2.6386806596701513E-2</v>
      </c>
      <c r="D26" s="5">
        <f>('📊 Цены'!D25-'📊 Цены'!D24)/'📊 Цены'!D24</f>
        <v>-2.1813963930255125E-2</v>
      </c>
      <c r="E26" s="5">
        <f>('📊 Цены'!E25-'📊 Цены'!E24)/'📊 Цены'!E24</f>
        <v>2.0811601142329588E-2</v>
      </c>
      <c r="F26" s="5">
        <f>('📊 Цены'!F25-'📊 Цены'!F24)/'📊 Цены'!F24</f>
        <v>-6.4940239043824524E-3</v>
      </c>
      <c r="G26" s="5">
        <f>('📊 Цены'!G25-'📊 Цены'!G24)/'📊 Цены'!G24</f>
        <v>8.2356360817751051E-3</v>
      </c>
      <c r="H26" s="5">
        <f>('📊 Цены'!H25-'📊 Цены'!H24)/'📊 Цены'!H24</f>
        <v>0.10389610389610388</v>
      </c>
      <c r="I26" s="5">
        <f>('📊 Цены'!I25-'📊 Цены'!I24)/'📊 Цены'!I24</f>
        <v>-9.7021838238408144E-4</v>
      </c>
    </row>
    <row r="27" spans="1:9" x14ac:dyDescent="0.35">
      <c r="A27" s="2">
        <f>'📊 Цены'!A26</f>
        <v>45918</v>
      </c>
      <c r="B27" s="3">
        <v>23</v>
      </c>
      <c r="C27" s="5">
        <f>('📊 Цены'!C26-'📊 Цены'!C25)/'📊 Цены'!C25</f>
        <v>-1.4607069821792919E-3</v>
      </c>
      <c r="D27" s="5">
        <f>('📊 Цены'!D26-'📊 Цены'!D25)/'📊 Цены'!D25</f>
        <v>7.2677198485253305E-3</v>
      </c>
      <c r="E27" s="5">
        <f>('📊 Цены'!E26-'📊 Цены'!E25)/'📊 Цены'!E25</f>
        <v>-2.1007136395617777E-2</v>
      </c>
      <c r="F27" s="5">
        <f>('📊 Цены'!F26-'📊 Цены'!F25)/'📊 Цены'!F25</f>
        <v>1.0025263664434375E-2</v>
      </c>
      <c r="G27" s="5">
        <f>('📊 Цены'!G26-'📊 Цены'!G25)/'📊 Цены'!G25</f>
        <v>-6.4385931193542351E-3</v>
      </c>
      <c r="H27" s="5">
        <f>('📊 Цены'!H26-'📊 Цены'!H25)/'📊 Цены'!H25</f>
        <v>-2.5882352941176547E-2</v>
      </c>
      <c r="I27" s="5">
        <f>('📊 Цены'!I26-'📊 Цены'!I25)/'📊 Цены'!I25</f>
        <v>4.789139969850034E-3</v>
      </c>
    </row>
    <row r="28" spans="1:9" x14ac:dyDescent="0.35">
      <c r="A28" s="2">
        <f>'📊 Цены'!A27</f>
        <v>45919</v>
      </c>
      <c r="B28" s="3">
        <v>24</v>
      </c>
      <c r="C28" s="5">
        <f>('📊 Цены'!C27-'📊 Цены'!C26)/'📊 Цены'!C26</f>
        <v>-4.3885313048565994E-3</v>
      </c>
      <c r="D28" s="5">
        <f>('📊 Цены'!D27-'📊 Цены'!D26)/'📊 Цены'!D26</f>
        <v>1.7316674894618928E-2</v>
      </c>
      <c r="E28" s="5">
        <f>('📊 Цены'!E27-'📊 Цены'!E26)/'📊 Цены'!E26</f>
        <v>-3.2340862422997716E-3</v>
      </c>
      <c r="F28" s="5">
        <f>('📊 Цены'!F27-'📊 Цены'!F26)/'📊 Цены'!F26</f>
        <v>1.0640409735180874E-2</v>
      </c>
      <c r="G28" s="5">
        <f>('📊 Цены'!G27-'📊 Цены'!G26)/'📊 Цены'!G26</f>
        <v>-1.2283586420350092E-2</v>
      </c>
      <c r="H28" s="5">
        <f>('📊 Цены'!H27-'📊 Цены'!H26)/'📊 Цены'!H26</f>
        <v>2.4154589371980808E-2</v>
      </c>
      <c r="I28" s="5">
        <f>('📊 Цены'!I27-'📊 Цены'!I26)/'📊 Цены'!I26</f>
        <v>4.8854335671505312E-3</v>
      </c>
    </row>
    <row r="29" spans="1:9" x14ac:dyDescent="0.35">
      <c r="A29" s="2">
        <f>'📊 Цены'!A28</f>
        <v>45922</v>
      </c>
      <c r="B29" s="3">
        <v>25</v>
      </c>
      <c r="C29" s="5">
        <f>('📊 Цены'!C28-'📊 Цены'!C27)/'📊 Цены'!C27</f>
        <v>-7.934175727299533E-3</v>
      </c>
      <c r="D29" s="5">
        <f>('📊 Цены'!D28-'📊 Цены'!D27)/'📊 Цены'!D27</f>
        <v>-1.6461980663705134E-2</v>
      </c>
      <c r="E29" s="5">
        <f>('📊 Цены'!E28-'📊 Цены'!E27)/'📊 Цены'!E27</f>
        <v>5.6651387959012018E-4</v>
      </c>
      <c r="F29" s="5">
        <f>('📊 Цены'!F28-'📊 Цены'!F27)/'📊 Цены'!F27</f>
        <v>-8.6034177961107749E-3</v>
      </c>
      <c r="G29" s="5">
        <f>('📊 Цены'!G28-'📊 Цены'!G27)/'📊 Цены'!G27</f>
        <v>4.7982765374069217E-3</v>
      </c>
      <c r="H29" s="5">
        <f>('📊 Цены'!H28-'📊 Цены'!H27)/'📊 Цены'!H27</f>
        <v>1.1792452830188637E-2</v>
      </c>
      <c r="I29" s="5">
        <f>('📊 Цены'!I28-'📊 Цены'!I27)/'📊 Цены'!I27</f>
        <v>4.4100258689507062E-3</v>
      </c>
    </row>
    <row r="30" spans="1:9" x14ac:dyDescent="0.35">
      <c r="A30" s="2">
        <f>'📊 Цены'!A29</f>
        <v>45923</v>
      </c>
      <c r="B30" s="3">
        <v>26</v>
      </c>
      <c r="C30" s="5">
        <f>('📊 Цены'!C29-'📊 Цены'!C28)/'📊 Цены'!C28</f>
        <v>-5.4798578199050704E-3</v>
      </c>
      <c r="D30" s="5">
        <f>('📊 Цены'!D29-'📊 Цены'!D28)/'📊 Цены'!D28</f>
        <v>-8.57750113860631E-3</v>
      </c>
      <c r="E30" s="5">
        <f>('📊 Цены'!E29-'📊 Цены'!E28)/'📊 Цены'!E28</f>
        <v>-2.4843867956900724E-2</v>
      </c>
      <c r="F30" s="5">
        <f>('📊 Цены'!F29-'📊 Цены'!F28)/'📊 Цены'!F28</f>
        <v>-3.407830084007028E-3</v>
      </c>
      <c r="G30" s="5">
        <f>('📊 Цены'!G29-'📊 Цены'!G28)/'📊 Цены'!G28</f>
        <v>-2.9236916479874978E-3</v>
      </c>
      <c r="H30" s="5">
        <f>('📊 Цены'!H29-'📊 Цены'!H28)/'📊 Цены'!H28</f>
        <v>-6.75990675990676E-2</v>
      </c>
      <c r="I30" s="5">
        <f>('📊 Цены'!I29-'📊 Цены'!I28)/'📊 Цены'!I28</f>
        <v>-5.5021475256769262E-3</v>
      </c>
    </row>
    <row r="31" spans="1:9" x14ac:dyDescent="0.35">
      <c r="A31" s="2">
        <f>'📊 Цены'!A30</f>
        <v>45924</v>
      </c>
      <c r="B31" s="3">
        <v>27</v>
      </c>
      <c r="C31" s="5">
        <f>('📊 Цены'!C30-'📊 Цены'!C29)/'📊 Цены'!C29</f>
        <v>8.1906180193595992E-3</v>
      </c>
      <c r="D31" s="5">
        <f>('📊 Цены'!D30-'📊 Цены'!D29)/'📊 Цены'!D29</f>
        <v>1.148457239108623E-3</v>
      </c>
      <c r="E31" s="5">
        <f>('📊 Цены'!E30-'📊 Цены'!E29)/'📊 Цены'!E29</f>
        <v>-2.0233654725877563E-3</v>
      </c>
      <c r="F31" s="5">
        <f>('📊 Цены'!F30-'📊 Цены'!F29)/'📊 Цены'!F29</f>
        <v>-1.7972166998011969E-2</v>
      </c>
      <c r="G31" s="5">
        <f>('📊 Цены'!G30-'📊 Цены'!G29)/'📊 Цены'!G29</f>
        <v>2.0525852800312165E-3</v>
      </c>
      <c r="H31" s="5">
        <f>('📊 Цены'!H30-'📊 Цены'!H29)/'📊 Цены'!H29</f>
        <v>2.6874999999999982E-2</v>
      </c>
      <c r="I31" s="5">
        <f>('📊 Цены'!I30-'📊 Цены'!I29)/'📊 Цены'!I29</f>
        <v>-2.8466618195801987E-3</v>
      </c>
    </row>
    <row r="32" spans="1:9" x14ac:dyDescent="0.35">
      <c r="A32" s="2">
        <f>'📊 Цены'!A31</f>
        <v>45925</v>
      </c>
      <c r="B32" s="3">
        <v>28</v>
      </c>
      <c r="C32" s="5">
        <f>('📊 Цены'!C31-'📊 Цены'!C30)/'📊 Цены'!C30</f>
        <v>-1.6395864106351542E-2</v>
      </c>
      <c r="D32" s="5">
        <f>('📊 Цены'!D31-'📊 Цены'!D30)/'📊 Цены'!D30</f>
        <v>-4.7415111654940702E-3</v>
      </c>
      <c r="E32" s="5">
        <f>('📊 Цены'!E31-'📊 Цены'!E30)/'📊 Цены'!E30</f>
        <v>-2.6621533470848379E-3</v>
      </c>
      <c r="F32" s="5">
        <f>('📊 Цены'!F31-'📊 Цены'!F30)/'📊 Цены'!F30</f>
        <v>-5.4660296380273478E-3</v>
      </c>
      <c r="G32" s="5">
        <f>('📊 Цены'!G31-'📊 Цены'!G30)/'📊 Цены'!G30</f>
        <v>3.1213421771362406E-3</v>
      </c>
      <c r="H32" s="5">
        <f>('📊 Цены'!H31-'📊 Цены'!H30)/'📊 Цены'!H30</f>
        <v>4.9908703590992108E-2</v>
      </c>
      <c r="I32" s="5">
        <f>('📊 Цены'!I31-'📊 Цены'!I30)/'📊 Цены'!I30</f>
        <v>-5.0090615052493454E-3</v>
      </c>
    </row>
    <row r="33" spans="1:9" x14ac:dyDescent="0.35">
      <c r="A33" s="2">
        <f>'📊 Цены'!A32</f>
        <v>45926</v>
      </c>
      <c r="B33" s="3">
        <v>29</v>
      </c>
      <c r="C33" s="5">
        <f>('📊 Цены'!C32-'📊 Цены'!C31)/'📊 Цены'!C31</f>
        <v>8.2594984231866217E-3</v>
      </c>
      <c r="D33" s="5">
        <f>('📊 Цены'!D32-'📊 Цены'!D31)/'📊 Цены'!D31</f>
        <v>1.2717073920393432E-2</v>
      </c>
      <c r="E33" s="5">
        <f>('📊 Цены'!E32-'📊 Цены'!E31)/'📊 Цены'!E31</f>
        <v>-3.8182782393496231E-3</v>
      </c>
      <c r="F33" s="5">
        <f>('📊 Цены'!F32-'📊 Цены'!F31)/'📊 Цены'!F31</f>
        <v>3.0533729593290723E-3</v>
      </c>
      <c r="G33" s="5">
        <f>('📊 Цены'!G32-'📊 Цены'!G31)/'📊 Цены'!G31</f>
        <v>1.0696227148969217E-3</v>
      </c>
      <c r="H33" s="5">
        <f>('📊 Цены'!H32-'📊 Цены'!H31)/'📊 Цены'!H31</f>
        <v>-5.159420289855076E-2</v>
      </c>
      <c r="I33" s="5">
        <f>('📊 Цены'!I32-'📊 Цены'!I31)/'📊 Цены'!I31</f>
        <v>5.901839896316507E-3</v>
      </c>
    </row>
    <row r="34" spans="1:9" x14ac:dyDescent="0.35">
      <c r="A34" s="2">
        <f>'📊 Цены'!A33</f>
        <v>45929</v>
      </c>
      <c r="B34" s="3">
        <v>30</v>
      </c>
      <c r="C34" s="5">
        <f>('📊 Цены'!C33-'📊 Цены'!C32)/'📊 Цены'!C32</f>
        <v>3.5448316949657367E-2</v>
      </c>
      <c r="D34" s="5">
        <f>('📊 Цены'!D33-'📊 Цены'!D32)/'📊 Цены'!D32</f>
        <v>9.8638036344323495E-3</v>
      </c>
      <c r="E34" s="5">
        <f>('📊 Цены'!E33-'📊 Цены'!E32)/'📊 Цены'!E32</f>
        <v>5.3234907903609331E-3</v>
      </c>
      <c r="F34" s="5">
        <f>('📊 Цены'!F33-'📊 Цены'!F32)/'📊 Цены'!F32</f>
        <v>-1.0106339800308504E-2</v>
      </c>
      <c r="G34" s="5">
        <f>('📊 Цены'!G33-'📊 Цены'!G32)/'📊 Цены'!G32</f>
        <v>-7.7707625060707429E-4</v>
      </c>
      <c r="H34" s="5">
        <f>('📊 Цены'!H33-'📊 Цены'!H32)/'📊 Цены'!H32</f>
        <v>2.0782396088019552E-2</v>
      </c>
      <c r="I34" s="5">
        <f>('📊 Цены'!I33-'📊 Цены'!I32)/'📊 Цены'!I32</f>
        <v>2.6355795716242786E-3</v>
      </c>
    </row>
    <row r="35" spans="1:9" x14ac:dyDescent="0.35">
      <c r="A35" s="2">
        <f>'📊 Цены'!A34</f>
        <v>45930</v>
      </c>
      <c r="B35" s="3">
        <v>31</v>
      </c>
      <c r="C35" s="5">
        <f>('📊 Цены'!C34-'📊 Цены'!C33)/'📊 Цены'!C33</f>
        <v>-3.7543153049482157E-2</v>
      </c>
      <c r="D35" s="5">
        <f>('📊 Цены'!D34-'📊 Цены'!D33)/'📊 Цены'!D33</f>
        <v>-2.3892708215936038E-2</v>
      </c>
      <c r="E35" s="5">
        <f>('📊 Цены'!E34-'📊 Цены'!E33)/'📊 Цены'!E33</f>
        <v>1.1826172909239821E-3</v>
      </c>
      <c r="F35" s="5">
        <f>('📊 Цены'!F34-'📊 Цены'!F33)/'📊 Цены'!F33</f>
        <v>-3.8951986551313653E-3</v>
      </c>
      <c r="G35" s="5">
        <f>('📊 Цены'!G34-'📊 Цены'!G33)/'📊 Цены'!G33</f>
        <v>-1.9442014192680307E-4</v>
      </c>
      <c r="H35" s="5">
        <f>('📊 Цены'!H34-'📊 Цены'!H33)/'📊 Цены'!H33</f>
        <v>1.0179640718562977E-2</v>
      </c>
      <c r="I35" s="5">
        <f>('📊 Цены'!I34-'📊 Цены'!I33)/'📊 Цены'!I33</f>
        <v>4.0908483593821545E-3</v>
      </c>
    </row>
    <row r="36" spans="1:9" x14ac:dyDescent="0.35">
      <c r="A36" s="2">
        <f>'📊 Цены'!A35</f>
        <v>45931</v>
      </c>
      <c r="B36" s="3">
        <v>32</v>
      </c>
      <c r="C36" s="5">
        <f>('📊 Цены'!C35-'📊 Цены'!C34)/'📊 Цены'!C34</f>
        <v>-5.9781796442981844E-3</v>
      </c>
      <c r="D36" s="5">
        <f>('📊 Цены'!D35-'📊 Цены'!D34)/'📊 Цены'!D34</f>
        <v>4.6568910441443885E-3</v>
      </c>
      <c r="E36" s="5">
        <f>('📊 Цены'!E35-'📊 Цены'!E34)/'📊 Цены'!E34</f>
        <v>8.7092963805291516E-3</v>
      </c>
      <c r="F36" s="5">
        <f>('📊 Цены'!F35-'📊 Цены'!F34)/'📊 Цены'!F34</f>
        <v>7.409236848604641E-3</v>
      </c>
      <c r="G36" s="5">
        <f>('📊 Цены'!G35-'📊 Цены'!G34)/'📊 Цены'!G34</f>
        <v>-1.0695187165775347E-2</v>
      </c>
      <c r="H36" s="5">
        <f>('📊 Цены'!H35-'📊 Цены'!H34)/'📊 Цены'!H34</f>
        <v>-5.9276822762309206E-4</v>
      </c>
      <c r="I36" s="5">
        <f>('📊 Цены'!I35-'📊 Цены'!I34)/'📊 Цены'!I34</f>
        <v>3.3998857734067007E-3</v>
      </c>
    </row>
    <row r="37" spans="1:9" x14ac:dyDescent="0.35">
      <c r="A37" s="2">
        <f>'📊 Цены'!A36</f>
        <v>45932</v>
      </c>
      <c r="B37" s="3">
        <v>33</v>
      </c>
      <c r="C37" s="5">
        <f>('📊 Цены'!C36-'📊 Цены'!C35)/'📊 Цены'!C35</f>
        <v>3.397985265373614E-2</v>
      </c>
      <c r="D37" s="5">
        <f>('📊 Цены'!D36-'📊 Цены'!D35)/'📊 Цены'!D35</f>
        <v>1.8119828378792373E-2</v>
      </c>
      <c r="E37" s="5">
        <f>('📊 Цены'!E36-'📊 Цены'!E35)/'📊 Цены'!E35</f>
        <v>6.2046666084070055E-3</v>
      </c>
      <c r="F37" s="5">
        <f>('📊 Цены'!F36-'📊 Цены'!F35)/'📊 Цены'!F35</f>
        <v>3.2279153387267793E-3</v>
      </c>
      <c r="G37" s="5">
        <f>('📊 Цены'!G36-'📊 Цены'!G35)/'📊 Цены'!G35</f>
        <v>-2.5552825552826054E-3</v>
      </c>
      <c r="H37" s="5">
        <f>('📊 Цены'!H36-'📊 Цены'!H35)/'📊 Цены'!H35</f>
        <v>3.2028469750889632E-2</v>
      </c>
      <c r="I37" s="5">
        <f>('📊 Цены'!I36-'📊 Цены'!I35)/'📊 Цены'!I35</f>
        <v>6.1836929312202677E-4</v>
      </c>
    </row>
    <row r="38" spans="1:9" x14ac:dyDescent="0.35">
      <c r="A38" s="2">
        <f>'📊 Цены'!A37</f>
        <v>45933</v>
      </c>
      <c r="B38" s="3">
        <v>34</v>
      </c>
      <c r="C38" s="5">
        <f>('📊 Цены'!C37-'📊 Цены'!C36)/'📊 Цены'!C36</f>
        <v>4.6531917987495622E-3</v>
      </c>
      <c r="D38" s="5">
        <f>('📊 Цены'!D37-'📊 Цены'!D36)/'📊 Цены'!D36</f>
        <v>4.4023027429733073E-3</v>
      </c>
      <c r="E38" s="5">
        <f>('📊 Цены'!E37-'📊 Цены'!E36)/'📊 Цены'!E36</f>
        <v>5.4194893173527955E-3</v>
      </c>
      <c r="F38" s="5">
        <f>('📊 Цены'!F37-'📊 Цены'!F36)/'📊 Цены'!F36</f>
        <v>-1.384759499857465E-3</v>
      </c>
      <c r="G38" s="5">
        <f>('📊 Цены'!G37-'📊 Цены'!G36)/'📊 Цены'!G36</f>
        <v>3.6456793772785944E-3</v>
      </c>
      <c r="H38" s="5">
        <f>('📊 Цены'!H37-'📊 Цены'!H36)/'📊 Цены'!H36</f>
        <v>5.1724137931034607E-2</v>
      </c>
      <c r="I38" s="5">
        <f>('📊 Цены'!I37-'📊 Цены'!I36)/'📊 Цены'!I36</f>
        <v>6.5521529034167953E-5</v>
      </c>
    </row>
    <row r="39" spans="1:9" x14ac:dyDescent="0.35">
      <c r="A39" s="2">
        <f>'📊 Цены'!A38</f>
        <v>45936</v>
      </c>
      <c r="B39" s="3">
        <v>35</v>
      </c>
      <c r="C39" s="5">
        <f>('📊 Цены'!C38-'📊 Цены'!C37)/'📊 Цены'!C37</f>
        <v>2.9526704298740655E-2</v>
      </c>
      <c r="D39" s="5">
        <f>('📊 Цены'!D38-'📊 Цены'!D37)/'📊 Цены'!D37</f>
        <v>1.633325841012967E-2</v>
      </c>
      <c r="E39" s="5">
        <f>('📊 Цены'!E38-'📊 Цены'!E37)/'📊 Цены'!E37</f>
        <v>-2.8333506098616149E-3</v>
      </c>
      <c r="F39" s="5">
        <f>('📊 Цены'!F38-'📊 Цены'!F37)/'📊 Цены'!F37</f>
        <v>2.0718626371385506E-2</v>
      </c>
      <c r="G39" s="5">
        <f>('📊 Цены'!G38-'📊 Цены'!G37)/'📊 Цены'!G37</f>
        <v>6.184959748674607E-3</v>
      </c>
      <c r="H39" s="5">
        <f>('📊 Цены'!H38-'📊 Цены'!H37)/'📊 Цены'!H37</f>
        <v>1.6393442622949499E-3</v>
      </c>
      <c r="I39" s="5">
        <f>('📊 Цены'!I38-'📊 Цены'!I37)/'📊 Цены'!I37</f>
        <v>3.6466298082578194E-3</v>
      </c>
    </row>
    <row r="40" spans="1:9" x14ac:dyDescent="0.35">
      <c r="A40" s="2">
        <f>'📊 Цены'!A39</f>
        <v>45937</v>
      </c>
      <c r="B40" s="3">
        <v>36</v>
      </c>
      <c r="C40" s="5">
        <f>('📊 Цены'!C39-'📊 Цены'!C38)/'📊 Цены'!C38</f>
        <v>4.6534514269647158E-2</v>
      </c>
      <c r="D40" s="5">
        <f>('📊 Цены'!D39-'📊 Цены'!D38)/'📊 Цены'!D38</f>
        <v>-1.6513085145595349E-2</v>
      </c>
      <c r="E40" s="5">
        <f>('📊 Цены'!E39-'📊 Цены'!E38)/'📊 Цены'!E38</f>
        <v>1.7845386188019101E-3</v>
      </c>
      <c r="F40" s="5">
        <f>('📊 Цены'!F39-'📊 Цены'!F38)/'📊 Цены'!F38</f>
        <v>-1.8659847364846029E-2</v>
      </c>
      <c r="G40" s="5">
        <f>('📊 Цены'!G39-'📊 Цены'!G38)/'📊 Цены'!G38</f>
        <v>5.2688067128500958E-3</v>
      </c>
      <c r="H40" s="5">
        <f>('📊 Цены'!H39-'📊 Цены'!H38)/'📊 Цены'!H38</f>
        <v>-3.0005455537370277E-2</v>
      </c>
      <c r="I40" s="5">
        <f>('📊 Цены'!I39-'📊 Цены'!I38)/'📊 Цены'!I38</f>
        <v>-3.8114143626080225E-3</v>
      </c>
    </row>
    <row r="41" spans="1:9" x14ac:dyDescent="0.35">
      <c r="A41" s="2">
        <f>'📊 Цены'!A40</f>
        <v>45938</v>
      </c>
      <c r="B41" s="3">
        <v>37</v>
      </c>
      <c r="C41" s="5">
        <f>('📊 Цены'!C40-'📊 Цены'!C39)/'📊 Цены'!C39</f>
        <v>2.02847931219775E-2</v>
      </c>
      <c r="D41" s="5">
        <f>('📊 Цены'!D40-'📊 Цены'!D39)/'📊 Цены'!D39</f>
        <v>1.9863578442396732E-3</v>
      </c>
      <c r="E41" s="5">
        <f>('📊 Цены'!E40-'📊 Цены'!E39)/'📊 Цены'!E39</f>
        <v>-5.8629217758253685E-3</v>
      </c>
      <c r="F41" s="5">
        <f>('📊 Цены'!F40-'📊 Цены'!F39)/'📊 Цены'!F39</f>
        <v>-4.6416938110748632E-3</v>
      </c>
      <c r="G41" s="5">
        <f>('📊 Цены'!G40-'📊 Цены'!G39)/'📊 Цены'!G39</f>
        <v>-3.3000097059109326E-3</v>
      </c>
      <c r="H41" s="5">
        <f>('📊 Цены'!H40-'📊 Цены'!H39)/'📊 Цены'!H39</f>
        <v>0</v>
      </c>
      <c r="I41" s="5">
        <f>('📊 Цены'!I40-'📊 Цены'!I39)/'📊 Цены'!I39</f>
        <v>5.8276082381798601E-3</v>
      </c>
    </row>
    <row r="42" spans="1:9" x14ac:dyDescent="0.35">
      <c r="A42" s="2">
        <f>'📊 Цены'!A41</f>
        <v>45939</v>
      </c>
      <c r="B42" s="3">
        <v>38</v>
      </c>
      <c r="C42" s="5">
        <f>('📊 Цены'!C41-'📊 Цены'!C40)/'📊 Цены'!C40</f>
        <v>-4.8716260697828119E-3</v>
      </c>
      <c r="D42" s="5">
        <f>('📊 Цены'!D41-'📊 Цены'!D40)/'📊 Цены'!D40</f>
        <v>-6.8823639423977248E-3</v>
      </c>
      <c r="E42" s="5">
        <f>('📊 Цены'!E41-'📊 Цены'!E40)/'📊 Цены'!E40</f>
        <v>-1.934518631919558E-2</v>
      </c>
      <c r="F42" s="5">
        <f>('📊 Цены'!F41-'📊 Цены'!F40)/'📊 Цены'!F40</f>
        <v>-1.2640104720608702E-2</v>
      </c>
      <c r="G42" s="5">
        <f>('📊 Цены'!G41-'📊 Цены'!G40)/'📊 Цены'!G40</f>
        <v>-1.1003992599084579E-2</v>
      </c>
      <c r="H42" s="5">
        <f>('📊 Цены'!H41-'📊 Цены'!H40)/'📊 Цены'!H40</f>
        <v>-2.8121484814398197E-2</v>
      </c>
      <c r="I42" s="5">
        <f>('📊 Цены'!I41-'📊 Цены'!I40)/'📊 Цены'!I40</f>
        <v>-2.755518440207853E-3</v>
      </c>
    </row>
    <row r="43" spans="1:9" x14ac:dyDescent="0.35">
      <c r="A43" s="2">
        <f>'📊 Цены'!A42</f>
        <v>45940</v>
      </c>
      <c r="B43" s="3">
        <v>39</v>
      </c>
      <c r="C43" s="5">
        <f>('📊 Цены'!C42-'📊 Цены'!C41)/'📊 Цены'!C41</f>
        <v>-7.8062979624239109E-2</v>
      </c>
      <c r="D43" s="5">
        <f>('📊 Цены'!D42-'📊 Цены'!D41)/'📊 Цены'!D41</f>
        <v>-2.2296711988249091E-2</v>
      </c>
      <c r="E43" s="5">
        <f>('📊 Цены'!E42-'📊 Цены'!E41)/'📊 Цены'!E41</f>
        <v>-1.2524392407308956E-2</v>
      </c>
      <c r="F43" s="5">
        <f>('📊 Цены'!F42-'📊 Цены'!F41)/'📊 Цены'!F41</f>
        <v>-2.0507933877449629E-2</v>
      </c>
      <c r="G43" s="5">
        <f>('📊 Цены'!G42-'📊 Цены'!G41)/'📊 Цены'!G41</f>
        <v>6.8924773532880244E-4</v>
      </c>
      <c r="H43" s="5">
        <f>('📊 Цены'!H42-'📊 Цены'!H41)/'📊 Цены'!H41</f>
        <v>-8.8541666666666727E-2</v>
      </c>
      <c r="I43" s="5">
        <f>('📊 Цены'!I42-'📊 Цены'!I41)/'📊 Цены'!I41</f>
        <v>-2.7111658161485034E-2</v>
      </c>
    </row>
    <row r="44" spans="1:9" x14ac:dyDescent="0.35">
      <c r="A44" s="2">
        <f>'📊 Цены'!A43</f>
        <v>45943</v>
      </c>
      <c r="B44" s="3">
        <v>40</v>
      </c>
      <c r="C44" s="5">
        <f>('📊 Цены'!C43-'📊 Цены'!C42)/'📊 Цены'!C42</f>
        <v>-1.406429391504024E-2</v>
      </c>
      <c r="D44" s="5">
        <f>('📊 Цены'!D43-'📊 Цены'!D42)/'📊 Цены'!D42</f>
        <v>1.1749296968296205E-2</v>
      </c>
      <c r="E44" s="5">
        <f>('📊 Цены'!E43-'📊 Цены'!E42)/'📊 Цены'!E42</f>
        <v>3.1618281115262845E-3</v>
      </c>
      <c r="F44" s="5">
        <f>('📊 Цены'!F43-'📊 Цены'!F42)/'📊 Цены'!F42</f>
        <v>3.2019287708315802E-2</v>
      </c>
      <c r="G44" s="5">
        <f>('📊 Цены'!G43-'📊 Цены'!G42)/'📊 Цены'!G42</f>
        <v>2.755092000393596E-3</v>
      </c>
      <c r="H44" s="5">
        <f>('📊 Цены'!H43-'📊 Цены'!H42)/'📊 Цены'!H42</f>
        <v>-4.126984126984129E-2</v>
      </c>
      <c r="I44" s="5">
        <f>('📊 Цены'!I43-'📊 Цены'!I42)/'📊 Цены'!I42</f>
        <v>1.5598602672868875E-2</v>
      </c>
    </row>
    <row r="45" spans="1:9" x14ac:dyDescent="0.35">
      <c r="A45" s="2">
        <f>'📊 Цены'!A44</f>
        <v>45944</v>
      </c>
      <c r="B45" s="3">
        <v>41</v>
      </c>
      <c r="C45" s="5">
        <f>('📊 Цены'!C44-'📊 Цены'!C43)/'📊 Цены'!C43</f>
        <v>4.2212518195049783E-3</v>
      </c>
      <c r="D45" s="5">
        <f>('📊 Цены'!D44-'📊 Цены'!D43)/'📊 Цены'!D43</f>
        <v>1.7895217788607937E-2</v>
      </c>
      <c r="E45" s="5">
        <f>('📊 Цены'!E44-'📊 Цены'!E43)/'📊 Цены'!E43</f>
        <v>1.55265042979944E-2</v>
      </c>
      <c r="F45" s="5">
        <f>('📊 Цены'!F44-'📊 Цены'!F43)/'📊 Цены'!F43</f>
        <v>5.3280872166891384E-3</v>
      </c>
      <c r="G45" s="5">
        <f>('📊 Цены'!G44-'📊 Цены'!G43)/'📊 Цены'!G43</f>
        <v>4.9847905014228228E-2</v>
      </c>
      <c r="H45" s="5">
        <f>('📊 Цены'!H44-'📊 Цены'!H43)/'📊 Цены'!H43</f>
        <v>-2.6490066225165587E-2</v>
      </c>
      <c r="I45" s="5">
        <f>('📊 Цены'!I44-'📊 Цены'!I43)/'📊 Цены'!I43</f>
        <v>-1.5643032313906301E-3</v>
      </c>
    </row>
    <row r="46" spans="1:9" x14ac:dyDescent="0.35">
      <c r="A46" s="2">
        <f>'📊 Цены'!A45</f>
        <v>45945</v>
      </c>
      <c r="B46" s="3">
        <v>42</v>
      </c>
      <c r="C46" s="5">
        <f>('📊 Цены'!C45-'📊 Цены'!C44)/'📊 Цены'!C44</f>
        <v>-1.6958979562255425E-2</v>
      </c>
      <c r="D46" s="5">
        <f>('📊 Цены'!D45-'📊 Цены'!D44)/'📊 Цены'!D44</f>
        <v>-6.6581880751102451E-3</v>
      </c>
      <c r="E46" s="5">
        <f>('📊 Цены'!E45-'📊 Цены'!E44)/'📊 Цены'!E44</f>
        <v>-8.9935986738850972E-3</v>
      </c>
      <c r="F46" s="5">
        <f>('📊 Цены'!F45-'📊 Цены'!F44)/'📊 Цены'!F44</f>
        <v>2.2748583309552012E-2</v>
      </c>
      <c r="G46" s="5">
        <f>('📊 Цены'!G45-'📊 Цены'!G44)/'📊 Цены'!G44</f>
        <v>1.7010935601458149E-2</v>
      </c>
      <c r="H46" s="5">
        <f>('📊 Цены'!H45-'📊 Цены'!H44)/'📊 Цены'!H44</f>
        <v>3.0612244897959259E-2</v>
      </c>
      <c r="I46" s="5">
        <f>('📊 Цены'!I45-'📊 Цены'!I44)/'📊 Цены'!I44</f>
        <v>4.0260011950074576E-3</v>
      </c>
    </row>
    <row r="47" spans="1:9" x14ac:dyDescent="0.35">
      <c r="A47" s="2">
        <f>'📊 Цены'!A46</f>
        <v>45946</v>
      </c>
      <c r="B47" s="3">
        <v>43</v>
      </c>
      <c r="C47" s="5">
        <f>('📊 Цены'!C46-'📊 Цены'!C45)/'📊 Цены'!C45</f>
        <v>-2.8310232969625298E-2</v>
      </c>
      <c r="D47" s="5">
        <f>('📊 Цены'!D46-'📊 Цены'!D45)/'📊 Цены'!D45</f>
        <v>-2.6848923030576878E-2</v>
      </c>
      <c r="E47" s="5">
        <f>('📊 Цены'!E46-'📊 Цены'!E45)/'📊 Цены'!E45</f>
        <v>-2.2972756552841044E-2</v>
      </c>
      <c r="F47" s="5">
        <f>('📊 Цены'!F46-'📊 Цены'!F45)/'📊 Цены'!F45</f>
        <v>1.7140351576514004E-3</v>
      </c>
      <c r="G47" s="5">
        <f>('📊 Цены'!G46-'📊 Цены'!G45)/'📊 Цены'!G45</f>
        <v>-2.3527249333700966E-2</v>
      </c>
      <c r="H47" s="5">
        <f>('📊 Цены'!H46-'📊 Цены'!H45)/'📊 Цены'!H45</f>
        <v>0</v>
      </c>
      <c r="I47" s="5">
        <f>('📊 Цены'!I46-'📊 Цены'!I45)/'📊 Цены'!I45</f>
        <v>-6.2943520220175939E-3</v>
      </c>
    </row>
    <row r="48" spans="1:9" x14ac:dyDescent="0.35">
      <c r="A48" s="2">
        <f>'📊 Цены'!A47</f>
        <v>45947</v>
      </c>
      <c r="B48" s="3">
        <v>44</v>
      </c>
      <c r="C48" s="5">
        <f>('📊 Цены'!C47-'📊 Цены'!C46)/'📊 Цены'!C46</f>
        <v>2.048558421851281E-2</v>
      </c>
      <c r="D48" s="5">
        <f>('📊 Цены'!D47-'📊 Цены'!D46)/'📊 Цены'!D46</f>
        <v>7.0038308245946763E-3</v>
      </c>
      <c r="E48" s="5">
        <f>('📊 Цены'!E47-'📊 Цены'!E46)/'📊 Цены'!E46</f>
        <v>2.01617309583653E-2</v>
      </c>
      <c r="F48" s="5">
        <f>('📊 Цены'!F47-'📊 Цены'!F46)/'📊 Цены'!F46</f>
        <v>7.2821329088737924E-3</v>
      </c>
      <c r="G48" s="5">
        <f>('📊 Цены'!G47-'📊 Цены'!G46)/'📊 Цены'!G46</f>
        <v>1.1858823529411812E-2</v>
      </c>
      <c r="H48" s="5">
        <f>('📊 Цены'!H47-'📊 Цены'!H46)/'📊 Цены'!H46</f>
        <v>-9.9009900990099237E-3</v>
      </c>
      <c r="I48" s="5">
        <f>('📊 Цены'!I47-'📊 Цены'!I46)/'📊 Цены'!I46</f>
        <v>5.2707242494045943E-3</v>
      </c>
    </row>
    <row r="49" spans="1:9" x14ac:dyDescent="0.35">
      <c r="A49" s="2">
        <f>'📊 Цены'!A48</f>
        <v>45950</v>
      </c>
      <c r="B49" s="3">
        <v>45</v>
      </c>
      <c r="C49" s="5">
        <f>('📊 Цены'!C48-'📊 Цены'!C47)/'📊 Цены'!C47</f>
        <v>2.6617100371747304E-2</v>
      </c>
      <c r="D49" s="5">
        <f>('📊 Цены'!D48-'📊 Цены'!D47)/'📊 Цены'!D47</f>
        <v>-3.2662158007993494E-3</v>
      </c>
      <c r="E49" s="5">
        <f>('📊 Цены'!E48-'📊 Цены'!E47)/'📊 Цены'!E47</f>
        <v>9.6049131451627218E-3</v>
      </c>
      <c r="F49" s="5">
        <f>('📊 Цены'!F48-'📊 Цены'!F47)/'📊 Цены'!F47</f>
        <v>1.2839252557974164E-2</v>
      </c>
      <c r="G49" s="5">
        <f>('📊 Цены'!G48-'📊 Цены'!G47)/'📊 Цены'!G47</f>
        <v>-6.3249930239048166E-3</v>
      </c>
      <c r="H49" s="5">
        <f>('📊 Цены'!H48-'📊 Цены'!H47)/'📊 Цены'!H47</f>
        <v>-3.4666666666666637E-2</v>
      </c>
      <c r="I49" s="5">
        <f>('📊 Цены'!I48-'📊 Цены'!I47)/'📊 Цены'!I47</f>
        <v>1.0672252892777755E-2</v>
      </c>
    </row>
    <row r="50" spans="1:9" x14ac:dyDescent="0.35">
      <c r="A50" s="2">
        <f>'📊 Цены'!A49</f>
        <v>45951</v>
      </c>
      <c r="B50" s="3">
        <v>46</v>
      </c>
      <c r="C50" s="5">
        <f>('📊 Цены'!C49-'📊 Цены'!C48)/'📊 Цены'!C48</f>
        <v>1.2311703360370716E-2</v>
      </c>
      <c r="D50" s="5">
        <f>('📊 Цены'!D49-'📊 Цены'!D48)/'📊 Цены'!D48</f>
        <v>3.242222136551149E-2</v>
      </c>
      <c r="E50" s="5">
        <f>('📊 Цены'!E49-'📊 Цены'!E48)/'📊 Цены'!E48</f>
        <v>1.000866474509729E-2</v>
      </c>
      <c r="F50" s="5">
        <f>('📊 Цены'!F49-'📊 Цены'!F48)/'📊 Цены'!F48</f>
        <v>-2.3714798346204789E-2</v>
      </c>
      <c r="G50" s="5">
        <f>('📊 Цены'!G49-'📊 Цены'!G48)/'📊 Цены'!G48</f>
        <v>-7.7693531779462538E-3</v>
      </c>
      <c r="H50" s="5">
        <f>('📊 Цены'!H49-'📊 Цены'!H48)/'📊 Цены'!H48</f>
        <v>0</v>
      </c>
      <c r="I50" s="5">
        <f>('📊 Цены'!I49-'📊 Цены'!I48)/'📊 Цены'!I48</f>
        <v>3.2664551389543281E-5</v>
      </c>
    </row>
    <row r="51" spans="1:9" x14ac:dyDescent="0.35">
      <c r="A51" s="2">
        <f>'📊 Цены'!A50</f>
        <v>45952</v>
      </c>
      <c r="B51" s="3">
        <v>47</v>
      </c>
      <c r="C51" s="5">
        <f>('📊 Цены'!C50-'📊 Цены'!C49)/'📊 Цены'!C49</f>
        <v>-2.8330233223637202E-2</v>
      </c>
      <c r="D51" s="5">
        <f>('📊 Цены'!D50-'📊 Цены'!D49)/'📊 Цены'!D49</f>
        <v>1.3554891710231498E-2</v>
      </c>
      <c r="E51" s="5">
        <f>('📊 Цены'!E50-'📊 Цены'!E49)/'📊 Цены'!E49</f>
        <v>-1.1730307964353155E-3</v>
      </c>
      <c r="F51" s="5">
        <f>('📊 Цены'!F50-'📊 Цены'!F49)/'📊 Цены'!F49</f>
        <v>4.9141030763083888E-3</v>
      </c>
      <c r="G51" s="5">
        <f>('📊 Цены'!G50-'📊 Цены'!G49)/'📊 Цены'!G49</f>
        <v>8.6792452830188847E-3</v>
      </c>
      <c r="H51" s="5">
        <f>('📊 Цены'!H50-'📊 Цены'!H49)/'📊 Цены'!H49</f>
        <v>2.4861878453038635E-2</v>
      </c>
      <c r="I51" s="5">
        <f>('📊 Цены'!I50-'📊 Цены'!I49)/'📊 Цены'!I49</f>
        <v>-5.3375103001329889E-3</v>
      </c>
    </row>
    <row r="52" spans="1:9" x14ac:dyDescent="0.35">
      <c r="A52" s="2">
        <f>'📊 Цены'!A51</f>
        <v>45953</v>
      </c>
      <c r="B52" s="3">
        <v>48</v>
      </c>
      <c r="C52" s="5">
        <f>('📊 Цены'!C51-'📊 Цены'!C50)/'📊 Цены'!C50</f>
        <v>2.3413341186865021E-2</v>
      </c>
      <c r="D52" s="5">
        <f>('📊 Цены'!D51-'📊 Цены'!D50)/'📊 Цены'!D50</f>
        <v>-8.7315329919316377E-3</v>
      </c>
      <c r="E52" s="5">
        <f>('📊 Цены'!E51-'📊 Цены'!E50)/'📊 Цены'!E50</f>
        <v>4.2243645924626965E-3</v>
      </c>
      <c r="F52" s="5">
        <f>('📊 Цены'!F51-'📊 Цены'!F50)/'📊 Цены'!F50</f>
        <v>5.4864230906849897E-3</v>
      </c>
      <c r="G52" s="5">
        <f>('📊 Цены'!G51-'📊 Цены'!G50)/'📊 Цены'!G50</f>
        <v>-2.618780396558185E-3</v>
      </c>
      <c r="H52" s="5">
        <f>('📊 Цены'!H51-'📊 Цены'!H50)/'📊 Цены'!H50</f>
        <v>4.9191374663072808E-2</v>
      </c>
      <c r="I52" s="5">
        <f>('📊 Цены'!I51-'📊 Цены'!I50)/'📊 Цены'!I50</f>
        <v>5.8273875272412401E-3</v>
      </c>
    </row>
    <row r="53" spans="1:9" x14ac:dyDescent="0.35">
      <c r="A53" s="2">
        <f>'📊 Цены'!A52</f>
        <v>45954</v>
      </c>
      <c r="B53" s="3">
        <v>49</v>
      </c>
      <c r="C53" s="5">
        <f>('📊 Цены'!C52-'📊 Цены'!C51)/'📊 Цены'!C51</f>
        <v>1.5827338129496321E-3</v>
      </c>
      <c r="D53" s="5">
        <f>('📊 Цены'!D52-'📊 Цены'!D51)/'📊 Цены'!D51</f>
        <v>6.0209618672415243E-3</v>
      </c>
      <c r="E53" s="5">
        <f>('📊 Цены'!E52-'📊 Цены'!E51)/'📊 Цены'!E51</f>
        <v>-1.7454748564350899E-4</v>
      </c>
      <c r="F53" s="5">
        <f>('📊 Цены'!F52-'📊 Цены'!F51)/'📊 Цены'!F51</f>
        <v>2.7045193942509208E-2</v>
      </c>
      <c r="G53" s="5">
        <f>('📊 Цены'!G52-'📊 Цены'!G51)/'📊 Цены'!G51</f>
        <v>-6.4703675918979528E-3</v>
      </c>
      <c r="H53" s="5">
        <f>('📊 Цены'!H52-'📊 Цены'!H51)/'📊 Цены'!H51</f>
        <v>-4.0462427745664789E-2</v>
      </c>
      <c r="I53" s="5">
        <f>('📊 Цены'!I52-'📊 Цены'!I51)/'📊 Цены'!I51</f>
        <v>7.9024225191587378E-3</v>
      </c>
    </row>
    <row r="54" spans="1:9" x14ac:dyDescent="0.35">
      <c r="A54" s="2">
        <f>'📊 Цены'!A53</f>
        <v>45957</v>
      </c>
      <c r="B54" s="3">
        <v>50</v>
      </c>
      <c r="C54" s="5">
        <f>('📊 Цены'!C53-'📊 Цены'!C52)/'📊 Цены'!C52</f>
        <v>6.8955609826174971E-3</v>
      </c>
      <c r="D54" s="5">
        <f>('📊 Цены'!D53-'📊 Цены'!D52)/'📊 Цены'!D52</f>
        <v>-4.0638392197433739E-4</v>
      </c>
      <c r="E54" s="5">
        <f>('📊 Цены'!E53-'📊 Цены'!E52)/'📊 Цены'!E52</f>
        <v>-2.2869712470102574E-3</v>
      </c>
      <c r="F54" s="5">
        <f>('📊 Цены'!F53-'📊 Цены'!F52)/'📊 Цены'!F52</f>
        <v>3.5957651588065354E-2</v>
      </c>
      <c r="G54" s="5">
        <f>('📊 Цены'!G53-'📊 Цены'!G52)/'📊 Цены'!G52</f>
        <v>-1.595092024539875E-2</v>
      </c>
      <c r="H54" s="5">
        <f>('📊 Цены'!H53-'📊 Цены'!H52)/'📊 Цены'!H52</f>
        <v>3.0120481927710916E-2</v>
      </c>
      <c r="I54" s="5">
        <f>('📊 Цены'!I53-'📊 Цены'!I52)/'📊 Цены'!I52</f>
        <v>1.2290019126314696E-2</v>
      </c>
    </row>
    <row r="55" spans="1:9" x14ac:dyDescent="0.35">
      <c r="A55" s="2">
        <f>'📊 Цены'!A54</f>
        <v>45958</v>
      </c>
      <c r="B55" s="3">
        <v>51</v>
      </c>
      <c r="C55" s="5">
        <f>('📊 Цены'!C54-'📊 Цены'!C53)/'📊 Цены'!C53</f>
        <v>3.9377942645170361E-2</v>
      </c>
      <c r="D55" s="5">
        <f>('📊 Цены'!D54-'📊 Цены'!D53)/'📊 Цены'!D53</f>
        <v>-2.1214473149277484E-2</v>
      </c>
      <c r="E55" s="5">
        <f>('📊 Цены'!E54-'📊 Цены'!E53)/'📊 Цены'!E53</f>
        <v>-1.1233595800524862E-2</v>
      </c>
      <c r="F55" s="5">
        <f>('📊 Цены'!F54-'📊 Цены'!F53)/'📊 Цены'!F53</f>
        <v>-6.6520495001670954E-3</v>
      </c>
      <c r="G55" s="5">
        <f>('📊 Цены'!G54-'📊 Цены'!G53)/'📊 Цены'!G53</f>
        <v>-1.2468827930174672E-2</v>
      </c>
      <c r="H55" s="5">
        <f>('📊 Цены'!H54-'📊 Цены'!H53)/'📊 Цены'!H53</f>
        <v>-5.1981806367771321E-3</v>
      </c>
      <c r="I55" s="5">
        <f>('📊 Цены'!I54-'📊 Цены'!I53)/'📊 Цены'!I53</f>
        <v>2.287946753239266E-3</v>
      </c>
    </row>
    <row r="56" spans="1:9" x14ac:dyDescent="0.35">
      <c r="A56" s="2">
        <f>'📊 Цены'!A55</f>
        <v>45959</v>
      </c>
      <c r="B56" s="3">
        <v>52</v>
      </c>
      <c r="C56" s="5">
        <f>('📊 Цены'!C55-'📊 Цены'!C54)/'📊 Цены'!C54</f>
        <v>-4.5710363761153033E-2</v>
      </c>
      <c r="D56" s="5">
        <f>('📊 Цены'!D55-'📊 Цены'!D54)/'📊 Цены'!D54</f>
        <v>-8.7980968923459732E-3</v>
      </c>
      <c r="E56" s="5">
        <f>('📊 Цены'!E55-'📊 Цены'!E54)/'📊 Цены'!E54</f>
        <v>-2.0050258370496284E-2</v>
      </c>
      <c r="F56" s="5">
        <f>('📊 Цены'!F55-'📊 Цены'!F54)/'📊 Цены'!F54</f>
        <v>2.6524504302281985E-2</v>
      </c>
      <c r="G56" s="5">
        <f>('📊 Цены'!G55-'📊 Цены'!G54)/'📊 Цены'!G54</f>
        <v>-6.8958818958818353E-3</v>
      </c>
      <c r="H56" s="5">
        <f>('📊 Цены'!H55-'📊 Цены'!H54)/'📊 Цены'!H54</f>
        <v>5.2253429131286786E-3</v>
      </c>
      <c r="I56" s="5">
        <f>('📊 Цены'!I55-'📊 Цены'!I54)/'📊 Цены'!I54</f>
        <v>-4.3535740666326396E-5</v>
      </c>
    </row>
    <row r="57" spans="1:9" x14ac:dyDescent="0.35">
      <c r="A57" s="2">
        <f>'📊 Цены'!A56</f>
        <v>45960</v>
      </c>
      <c r="B57" s="3">
        <v>53</v>
      </c>
      <c r="C57" s="5">
        <f>('📊 Цены'!C56-'📊 Цены'!C55)/'📊 Цены'!C55</f>
        <v>-2.5172612197928657E-2</v>
      </c>
      <c r="D57" s="5">
        <f>('📊 Цены'!D56-'📊 Цены'!D55)/'📊 Цены'!D55</f>
        <v>-3.2380952380953246E-3</v>
      </c>
      <c r="E57" s="5">
        <f>('📊 Цены'!E56-'📊 Цены'!E55)/'📊 Цены'!E55</f>
        <v>-1.6252821670428483E-3</v>
      </c>
      <c r="F57" s="5">
        <f>('📊 Цены'!F56-'📊 Цены'!F55)/'📊 Цены'!F55</f>
        <v>2.5183133496118757E-2</v>
      </c>
      <c r="G57" s="5">
        <f>('📊 Цены'!G56-'📊 Цены'!G55)/'📊 Цены'!G55</f>
        <v>-2.2493887530562738E-3</v>
      </c>
      <c r="H57" s="5">
        <f>('📊 Цены'!H56-'📊 Цены'!H55)/'📊 Цены'!H55</f>
        <v>5.9779077322936851E-2</v>
      </c>
      <c r="I57" s="5">
        <f>('📊 Цены'!I56-'📊 Цены'!I55)/'📊 Цены'!I55</f>
        <v>-9.9048122149191873E-3</v>
      </c>
    </row>
    <row r="58" spans="1:9" x14ac:dyDescent="0.35">
      <c r="A58" s="2">
        <f>'📊 Цены'!A57</f>
        <v>45961</v>
      </c>
      <c r="B58" s="3">
        <v>54</v>
      </c>
      <c r="C58" s="5">
        <f>('📊 Цены'!C57-'📊 Цены'!C56)/'📊 Цены'!C56</f>
        <v>1.9772760808617434E-2</v>
      </c>
      <c r="D58" s="5">
        <f>('📊 Цены'!D57-'📊 Цены'!D56)/'📊 Цены'!D56</f>
        <v>-6.4207911331930064E-3</v>
      </c>
      <c r="E58" s="5">
        <f>('📊 Цены'!E57-'📊 Цены'!E56)/'📊 Цены'!E56</f>
        <v>-3.0568870398843349E-3</v>
      </c>
      <c r="F58" s="5">
        <f>('📊 Цены'!F57-'📊 Цены'!F56)/'📊 Цены'!F56</f>
        <v>-1.0309278350516191E-3</v>
      </c>
      <c r="G58" s="5">
        <f>('📊 Цены'!G57-'📊 Цены'!G56)/'📊 Цены'!G56</f>
        <v>-1.0292099588315989E-2</v>
      </c>
      <c r="H58" s="5">
        <f>('📊 Цены'!H57-'📊 Цены'!H56)/'📊 Цены'!H56</f>
        <v>0</v>
      </c>
      <c r="I58" s="5">
        <f>('📊 Цены'!I57-'📊 Цены'!I56)/'📊 Цены'!I56</f>
        <v>2.6178701149458502E-3</v>
      </c>
    </row>
    <row r="59" spans="1:9" x14ac:dyDescent="0.35">
      <c r="A59" s="2">
        <f>'📊 Цены'!A58</f>
        <v>45964</v>
      </c>
      <c r="B59" s="3">
        <v>55</v>
      </c>
      <c r="C59" s="5">
        <f>('📊 Цены'!C58-'📊 Цены'!C57)/'📊 Цены'!C57</f>
        <v>-1.345680798726657E-2</v>
      </c>
      <c r="D59" s="5">
        <f>('📊 Цены'!D58-'📊 Цены'!D57)/'📊 Цены'!D57</f>
        <v>1.2693772358348863E-2</v>
      </c>
      <c r="E59" s="5">
        <f>('📊 Цены'!E58-'📊 Цены'!E57)/'📊 Цены'!E57</f>
        <v>-1.4351549459322099E-2</v>
      </c>
      <c r="F59" s="5">
        <f>('📊 Цены'!F58-'📊 Цены'!F57)/'📊 Цены'!F57</f>
        <v>8.9676523967117967E-3</v>
      </c>
      <c r="G59" s="5">
        <f>('📊 Цены'!G58-'📊 Цены'!G57)/'📊 Цены'!G57</f>
        <v>4.0606120629889733E-3</v>
      </c>
      <c r="H59" s="5">
        <f>('📊 Цены'!H58-'📊 Цены'!H57)/'📊 Цены'!H57</f>
        <v>-0.1226241569589208</v>
      </c>
      <c r="I59" s="5">
        <f>('📊 Цены'!I58-'📊 Цены'!I57)/'📊 Цены'!I57</f>
        <v>1.7207099207626148E-3</v>
      </c>
    </row>
    <row r="60" spans="1:9" x14ac:dyDescent="0.35">
      <c r="A60" s="2">
        <f>'📊 Цены'!A59</f>
        <v>45965</v>
      </c>
      <c r="B60" s="3">
        <v>56</v>
      </c>
      <c r="C60" s="5">
        <f>('📊 Цены'!C59-'📊 Цены'!C58)/'📊 Цены'!C58</f>
        <v>-3.3000880023467287E-2</v>
      </c>
      <c r="D60" s="5">
        <f>('📊 Цены'!D59-'📊 Цены'!D58)/'📊 Цены'!D58</f>
        <v>3.164052113799537E-2</v>
      </c>
      <c r="E60" s="5">
        <f>('📊 Цены'!E59-'📊 Цены'!E58)/'📊 Цены'!E58</f>
        <v>1.5959502991256251E-2</v>
      </c>
      <c r="F60" s="5">
        <f>('📊 Цены'!F59-'📊 Цены'!F58)/'📊 Цены'!F58</f>
        <v>-2.1761365640320107E-2</v>
      </c>
      <c r="G60" s="5">
        <f>('📊 Цены'!G59-'📊 Цены'!G58)/'📊 Цены'!G58</f>
        <v>6.7074373643717386E-3</v>
      </c>
      <c r="H60" s="5">
        <f>('📊 Цены'!H59-'📊 Цены'!H58)/'📊 Цены'!H58</f>
        <v>6.9881201956673404E-3</v>
      </c>
      <c r="I60" s="5">
        <f>('📊 Цены'!I59-'📊 Цены'!I58)/'📊 Цены'!I58</f>
        <v>-1.1736770592982759E-2</v>
      </c>
    </row>
    <row r="61" spans="1:9" x14ac:dyDescent="0.35">
      <c r="A61" s="2">
        <f>'📊 Цены'!A60</f>
        <v>45966</v>
      </c>
      <c r="B61" s="3">
        <v>57</v>
      </c>
      <c r="C61" s="5">
        <f>('📊 Цены'!C60-'📊 Цены'!C59)/'📊 Цены'!C59</f>
        <v>2.9880175944183206E-2</v>
      </c>
      <c r="D61" s="5">
        <f>('📊 Цены'!D60-'📊 Цены'!D59)/'📊 Цены'!D59</f>
        <v>3.9764359351988049E-2</v>
      </c>
      <c r="E61" s="5">
        <f>('📊 Цены'!E60-'📊 Цены'!E59)/'📊 Цены'!E59</f>
        <v>1.0146398028700882E-3</v>
      </c>
      <c r="F61" s="5">
        <f>('📊 Цены'!F60-'📊 Цены'!F59)/'📊 Цены'!F59</f>
        <v>2.4372656475338875E-2</v>
      </c>
      <c r="G61" s="5">
        <f>('📊 Цены'!G60-'📊 Цены'!G59)/'📊 Цены'!G59</f>
        <v>-7.838526357044847E-3</v>
      </c>
      <c r="H61" s="5">
        <f>('📊 Цены'!H60-'📊 Цены'!H59)/'📊 Цены'!H59</f>
        <v>5.1353226925746023E-2</v>
      </c>
      <c r="I61" s="5">
        <f>('📊 Цены'!I60-'📊 Цены'!I59)/'📊 Цены'!I59</f>
        <v>3.6535209811638077E-3</v>
      </c>
    </row>
    <row r="62" spans="1:9" x14ac:dyDescent="0.35">
      <c r="A62" s="2">
        <f>'📊 Цены'!A61</f>
        <v>45967</v>
      </c>
      <c r="B62" s="3">
        <v>58</v>
      </c>
      <c r="C62" s="5">
        <f>('📊 Цены'!C61-'📊 Цены'!C60)/'📊 Цены'!C60</f>
        <v>-2.6362297496318205E-2</v>
      </c>
      <c r="D62" s="5">
        <f>('📊 Цены'!D61-'📊 Цены'!D60)/'📊 Цены'!D60</f>
        <v>-6.7988668555239353E-3</v>
      </c>
      <c r="E62" s="5">
        <f>('📊 Цены'!E61-'📊 Цены'!E60)/'📊 Цены'!E60</f>
        <v>-5.430060816676208E-5</v>
      </c>
      <c r="F62" s="5">
        <f>('📊 Цены'!F61-'📊 Цены'!F60)/'📊 Цены'!F60</f>
        <v>1.5486414191186741E-3</v>
      </c>
      <c r="G62" s="5">
        <f>('📊 Цены'!G61-'📊 Цены'!G60)/'📊 Цены'!G60</f>
        <v>2.0738692474816683E-3</v>
      </c>
      <c r="H62" s="5">
        <f>('📊 Цены'!H61-'📊 Цены'!H60)/'📊 Цены'!H60</f>
        <v>6.6006600660064598E-4</v>
      </c>
      <c r="I62" s="5">
        <f>('📊 Цены'!I61-'📊 Цены'!I60)/'📊 Цены'!I60</f>
        <v>-1.1178157494750851E-2</v>
      </c>
    </row>
    <row r="63" spans="1:9" x14ac:dyDescent="0.35">
      <c r="A63" s="2">
        <f>'📊 Цены'!A62</f>
        <v>45968</v>
      </c>
      <c r="B63" s="3">
        <v>59</v>
      </c>
      <c r="C63" s="5">
        <f>('📊 Цены'!C62-'📊 Цены'!C61)/'📊 Цены'!C61</f>
        <v>-6.0505218575111557E-4</v>
      </c>
      <c r="D63" s="5">
        <f>('📊 Цены'!D62-'📊 Цены'!D61)/'📊 Цены'!D61</f>
        <v>3.5617512835139788E-2</v>
      </c>
      <c r="E63" s="5">
        <f>('📊 Цены'!E62-'📊 Цены'!E61)/'📊 Цены'!E61</f>
        <v>-2.3712553172233848E-3</v>
      </c>
      <c r="F63" s="5">
        <f>('📊 Цены'!F62-'📊 Цены'!F61)/'📊 Цены'!F61</f>
        <v>-2.0768906381782488E-2</v>
      </c>
      <c r="G63" s="5">
        <f>('📊 Цены'!G62-'📊 Цены'!G61)/'📊 Цены'!G61</f>
        <v>8.9681679314082639E-3</v>
      </c>
      <c r="H63" s="5">
        <f>('📊 Цены'!H62-'📊 Цены'!H61)/'📊 Цены'!H61</f>
        <v>0</v>
      </c>
      <c r="I63" s="5">
        <f>('📊 Цены'!I62-'📊 Цены'!I61)/'📊 Цены'!I61</f>
        <v>1.2618446740632102E-3</v>
      </c>
    </row>
    <row r="64" spans="1:9" x14ac:dyDescent="0.35">
      <c r="A64" s="2">
        <f>'📊 Цены'!A63</f>
        <v>45971</v>
      </c>
      <c r="B64" s="3">
        <v>60</v>
      </c>
      <c r="C64" s="5">
        <f>('📊 Цены'!C63-'📊 Цены'!C62)/'📊 Цены'!C62</f>
        <v>4.5406387165129622E-4</v>
      </c>
      <c r="D64" s="5">
        <f>('📊 Цены'!D63-'📊 Цены'!D62)/'📊 Цены'!D62</f>
        <v>-2.3410334974352143E-3</v>
      </c>
      <c r="E64" s="5">
        <f>('📊 Цены'!E63-'📊 Цены'!E62)/'📊 Цены'!E62</f>
        <v>1.7962768080705613E-3</v>
      </c>
      <c r="F64" s="5">
        <f>('📊 Цены'!F63-'📊 Цены'!F62)/'📊 Цены'!F62</f>
        <v>4.0409115377714154E-2</v>
      </c>
      <c r="G64" s="5">
        <f>('📊 Цены'!G63-'📊 Цены'!G62)/'📊 Цены'!G62</f>
        <v>-1.6604805626099016E-3</v>
      </c>
      <c r="H64" s="5">
        <f>('📊 Цены'!H63-'📊 Цены'!H62)/'📊 Цены'!H62</f>
        <v>8.8390501319261197E-2</v>
      </c>
      <c r="I64" s="5">
        <f>('📊 Цены'!I63-'📊 Цены'!I62)/'📊 Цены'!I62</f>
        <v>1.5400963024610645E-2</v>
      </c>
    </row>
    <row r="65" spans="1:9" x14ac:dyDescent="0.35">
      <c r="A65" s="2">
        <f>'📊 Цены'!A64</f>
        <v>45972</v>
      </c>
      <c r="B65" s="3">
        <v>61</v>
      </c>
      <c r="C65" s="5">
        <f>('📊 Цены'!C64-'📊 Цены'!C63)/'📊 Цены'!C63</f>
        <v>1.7246596066565818E-2</v>
      </c>
      <c r="D65" s="5">
        <f>('📊 Цены'!D64-'📊 Цены'!D63)/'📊 Цены'!D63</f>
        <v>4.900100072466127E-3</v>
      </c>
      <c r="E65" s="5">
        <f>('📊 Цены'!E64-'📊 Цены'!E63)/'📊 Цены'!E63</f>
        <v>9.7440820096716275E-3</v>
      </c>
      <c r="F65" s="5">
        <f>('📊 Цены'!F64-'📊 Цены'!F63)/'📊 Цены'!F63</f>
        <v>4.1737090821288656E-3</v>
      </c>
      <c r="G65" s="5">
        <f>('📊 Цены'!G64-'📊 Цены'!G63)/'📊 Цены'!G63</f>
        <v>9.9794540651600653E-3</v>
      </c>
      <c r="H65" s="5">
        <f>('📊 Цены'!H64-'📊 Цены'!H63)/'📊 Цены'!H63</f>
        <v>2.4848484848484856E-2</v>
      </c>
      <c r="I65" s="5">
        <f>('📊 Цены'!I64-'📊 Цены'!I63)/'📊 Цены'!I63</f>
        <v>2.0753963084875191E-3</v>
      </c>
    </row>
    <row r="66" spans="1:9" x14ac:dyDescent="0.35">
      <c r="A66" s="2">
        <f>'📊 Цены'!A65</f>
        <v>45973</v>
      </c>
      <c r="B66" s="3">
        <v>62</v>
      </c>
      <c r="C66" s="5">
        <f>('📊 Цены'!C65-'📊 Цены'!C64)/'📊 Цены'!C64</f>
        <v>-2.8256989886971703E-3</v>
      </c>
      <c r="D66" s="5">
        <f>('📊 Цены'!D65-'📊 Цены'!D64)/'📊 Цены'!D64</f>
        <v>-7.8980804230610678E-4</v>
      </c>
      <c r="E66" s="5">
        <f>('📊 Цены'!E65-'📊 Цены'!E64)/'📊 Цены'!E64</f>
        <v>5.1658266219439929E-3</v>
      </c>
      <c r="F66" s="5">
        <f>('📊 Цены'!F65-'📊 Цены'!F64)/'📊 Цены'!F64</f>
        <v>-1.5801044242923959E-2</v>
      </c>
      <c r="G66" s="5">
        <f>('📊 Цены'!G65-'📊 Цены'!G64)/'📊 Цены'!G64</f>
        <v>0</v>
      </c>
      <c r="H66" s="5">
        <f>('📊 Цены'!H65-'📊 Цены'!H64)/'📊 Цены'!H64</f>
        <v>-4.1986989946777103E-2</v>
      </c>
      <c r="I66" s="5">
        <f>('📊 Цены'!I65-'📊 Цены'!I64)/'📊 Цены'!I64</f>
        <v>6.2950861813370414E-4</v>
      </c>
    </row>
    <row r="67" spans="1:9" x14ac:dyDescent="0.35">
      <c r="A67" s="2">
        <f>'📊 Цены'!A66</f>
        <v>45974</v>
      </c>
      <c r="B67" s="3">
        <v>63</v>
      </c>
      <c r="C67" s="5">
        <f>('📊 Цены'!C66-'📊 Цены'!C65)/'📊 Цены'!C65</f>
        <v>-2.7889634601043854E-2</v>
      </c>
      <c r="D67" s="5">
        <f>('📊 Цены'!D66-'📊 Цены'!D65)/'📊 Цены'!D65</f>
        <v>-1.4537081586363385E-2</v>
      </c>
      <c r="E67" s="5">
        <f>('📊 Цены'!E66-'📊 Цены'!E65)/'📊 Цены'!E65</f>
        <v>-1.0082264137475646E-2</v>
      </c>
      <c r="F67" s="5">
        <f>('📊 Цены'!F66-'📊 Цены'!F65)/'📊 Цены'!F65</f>
        <v>-2.8374982549211211E-2</v>
      </c>
      <c r="G67" s="5">
        <f>('📊 Цены'!G66-'📊 Цены'!G65)/'📊 Цены'!G65</f>
        <v>-8.7183958151700637E-3</v>
      </c>
      <c r="H67" s="5">
        <f>('📊 Цены'!H66-'📊 Цены'!H65)/'📊 Цены'!H65</f>
        <v>-5.2469135802469119E-2</v>
      </c>
      <c r="I67" s="5">
        <f>('📊 Цены'!I66-'📊 Цены'!I65)/'📊 Цены'!I65</f>
        <v>-1.6556900387101336E-2</v>
      </c>
    </row>
    <row r="68" spans="1:9" x14ac:dyDescent="0.35">
      <c r="A68" s="2">
        <f>'📊 Цены'!A67</f>
        <v>45975</v>
      </c>
      <c r="B68" s="3">
        <v>64</v>
      </c>
      <c r="C68" s="5">
        <f>('📊 Цены'!C67-'📊 Цены'!C66)/'📊 Цены'!C66</f>
        <v>-3.8508745013807993E-2</v>
      </c>
      <c r="D68" s="5">
        <f>('📊 Цены'!D67-'📊 Цены'!D66)/'📊 Цены'!D66</f>
        <v>-5.9285091543155666E-3</v>
      </c>
      <c r="E68" s="5">
        <f>('📊 Цены'!E67-'📊 Цены'!E66)/'📊 Цены'!E66</f>
        <v>-1.7720012979053325E-2</v>
      </c>
      <c r="F68" s="5">
        <f>('📊 Цены'!F67-'📊 Цены'!F66)/'📊 Цены'!F66</f>
        <v>-7.7588993857536847E-3</v>
      </c>
      <c r="G68" s="5">
        <f>('📊 Цены'!G67-'📊 Цены'!G66)/'📊 Цены'!G66</f>
        <v>-5.8633831720905183E-4</v>
      </c>
      <c r="H68" s="5">
        <f>('📊 Цены'!H67-'📊 Цены'!H66)/'📊 Цены'!H66</f>
        <v>-9.6416938110749209E-2</v>
      </c>
      <c r="I68" s="5">
        <f>('📊 Цены'!I67-'📊 Цены'!I66)/'📊 Цены'!I66</f>
        <v>-5.0167050340707141E-4</v>
      </c>
    </row>
    <row r="69" spans="1:9" x14ac:dyDescent="0.35">
      <c r="A69" s="2">
        <f>'📊 Цены'!A68</f>
        <v>45978</v>
      </c>
      <c r="B69" s="3">
        <v>65</v>
      </c>
      <c r="C69" s="5">
        <f>('📊 Цены'!C68-'📊 Цены'!C67)/'📊 Цены'!C67</f>
        <v>-1.468007020903146E-2</v>
      </c>
      <c r="D69" s="5">
        <f>('📊 Цены'!D68-'📊 Цены'!D67)/'📊 Цены'!D67</f>
        <v>-9.9280827924924896E-3</v>
      </c>
      <c r="E69" s="5">
        <f>('📊 Цены'!E68-'📊 Цены'!E67)/'📊 Цены'!E67</f>
        <v>-1.6277917454258512E-2</v>
      </c>
      <c r="F69" s="5">
        <f>('📊 Цены'!F68-'📊 Цены'!F67)/'📊 Цены'!F67</f>
        <v>3.1133475726749321E-2</v>
      </c>
      <c r="G69" s="5">
        <f>('📊 Цены'!G68-'📊 Цены'!G67)/'📊 Цены'!G67</f>
        <v>4.5956781069717307E-3</v>
      </c>
      <c r="H69" s="5">
        <f>('📊 Цены'!H68-'📊 Цены'!H67)/'📊 Цены'!H67</f>
        <v>-1.874549387166545E-2</v>
      </c>
      <c r="I69" s="5">
        <f>('📊 Цены'!I68-'📊 Цены'!I67)/'📊 Цены'!I67</f>
        <v>-9.1623094959838534E-3</v>
      </c>
    </row>
    <row r="70" spans="1:9" x14ac:dyDescent="0.35">
      <c r="A70" s="2">
        <f>'📊 Цены'!A69</f>
        <v>45979</v>
      </c>
      <c r="B70" s="3">
        <v>66</v>
      </c>
      <c r="C70" s="5">
        <f>('📊 Цены'!C69-'📊 Цены'!C68)/'📊 Цены'!C68</f>
        <v>-1.9271255060728708E-2</v>
      </c>
      <c r="D70" s="5">
        <f>('📊 Цены'!D69-'📊 Цены'!D68)/'📊 Цены'!D68</f>
        <v>3.5433349868864374E-5</v>
      </c>
      <c r="E70" s="5">
        <f>('📊 Цены'!E69-'📊 Цены'!E68)/'📊 Цены'!E68</f>
        <v>-1.7256174912319976E-2</v>
      </c>
      <c r="F70" s="5">
        <f>('📊 Цены'!F69-'📊 Цены'!F68)/'📊 Цены'!F68</f>
        <v>-2.5980409366991157E-3</v>
      </c>
      <c r="G70" s="5">
        <f>('📊 Цены'!G69-'📊 Цены'!G68)/'📊 Цены'!G68</f>
        <v>-1.5183959509441193E-2</v>
      </c>
      <c r="H70" s="5">
        <f>('📊 Цены'!H69-'📊 Цены'!H68)/'📊 Цены'!H68</f>
        <v>0</v>
      </c>
      <c r="I70" s="5">
        <f>('📊 Цены'!I69-'📊 Цены'!I68)/'📊 Цены'!I68</f>
        <v>-8.2563871224939928E-3</v>
      </c>
    </row>
    <row r="71" spans="1:9" x14ac:dyDescent="0.35">
      <c r="A71" s="2">
        <f>'📊 Цены'!A70</f>
        <v>45980</v>
      </c>
      <c r="B71" s="3">
        <v>67</v>
      </c>
      <c r="C71" s="5">
        <f>('📊 Цены'!C70-'📊 Цены'!C69)/'📊 Цены'!C69</f>
        <v>-7.4306472919419223E-3</v>
      </c>
      <c r="D71" s="5">
        <f>('📊 Цены'!D70-'📊 Цены'!D69)/'📊 Цены'!D69</f>
        <v>4.6061722708427679E-3</v>
      </c>
      <c r="E71" s="5">
        <f>('📊 Цены'!E70-'📊 Цены'!E69)/'📊 Цены'!E69</f>
        <v>5.2582623056625635E-3</v>
      </c>
      <c r="F71" s="5">
        <f>('📊 Цены'!F70-'📊 Цены'!F69)/'📊 Цены'!F69</f>
        <v>3.002569608222757E-2</v>
      </c>
      <c r="G71" s="5">
        <f>('📊 Цены'!G70-'📊 Цены'!G69)/'📊 Цены'!G69</f>
        <v>-7.6101996441985589E-3</v>
      </c>
      <c r="H71" s="5">
        <f>('📊 Цены'!H70-'📊 Цены'!H69)/'📊 Цены'!H69</f>
        <v>-1.9103600293901526E-2</v>
      </c>
      <c r="I71" s="5">
        <f>('📊 Цены'!I70-'📊 Цены'!I69)/'📊 Цены'!I69</f>
        <v>3.753785520422187E-3</v>
      </c>
    </row>
    <row r="72" spans="1:9" x14ac:dyDescent="0.35">
      <c r="A72" s="2">
        <f>'📊 Цены'!A71</f>
        <v>45981</v>
      </c>
      <c r="B72" s="3">
        <v>68</v>
      </c>
      <c r="C72" s="5">
        <f>('📊 Цены'!C71-'📊 Цены'!C70)/'📊 Цены'!C70</f>
        <v>-3.3438695724505044E-2</v>
      </c>
      <c r="D72" s="5">
        <f>('📊 Цены'!D71-'📊 Цены'!D70)/'📊 Цены'!D70</f>
        <v>-4.0560081825555582E-3</v>
      </c>
      <c r="E72" s="5">
        <f>('📊 Цены'!E71-'📊 Цены'!E70)/'📊 Цены'!E70</f>
        <v>-4.6642495656770032E-3</v>
      </c>
      <c r="F72" s="5">
        <f>('📊 Цены'!F71-'📊 Цены'!F70)/'📊 Цены'!F70</f>
        <v>-1.1482468730777164E-2</v>
      </c>
      <c r="G72" s="5">
        <f>('📊 Цены'!G71-'📊 Цены'!G70)/'📊 Цены'!G70</f>
        <v>6.4535404840155408E-2</v>
      </c>
      <c r="H72" s="5">
        <f>('📊 Цены'!H71-'📊 Цены'!H70)/'📊 Цены'!H70</f>
        <v>0</v>
      </c>
      <c r="I72" s="5">
        <f>('📊 Цены'!I71-'📊 Цены'!I70)/'📊 Цены'!I70</f>
        <v>-1.5567225119539372E-2</v>
      </c>
    </row>
    <row r="73" spans="1:9" x14ac:dyDescent="0.35">
      <c r="A73" s="2">
        <f>'📊 Цены'!A72</f>
        <v>45982</v>
      </c>
      <c r="B73" s="3">
        <v>69</v>
      </c>
      <c r="C73" s="5">
        <f>('📊 Цены'!C72-'📊 Цены'!C71)/'📊 Цены'!C71</f>
        <v>4.2512908777968997E-2</v>
      </c>
      <c r="D73" s="5">
        <f>('📊 Цены'!D72-'📊 Цены'!D71)/'📊 Цены'!D71</f>
        <v>4.7666265316240457E-2</v>
      </c>
      <c r="E73" s="5">
        <f>('📊 Цены'!E72-'📊 Цены'!E71)/'📊 Цены'!E71</f>
        <v>2.3715115065738299E-2</v>
      </c>
      <c r="F73" s="5">
        <f>('📊 Цены'!F72-'📊 Цены'!F71)/'📊 Цены'!F71</f>
        <v>3.5262393694254268E-2</v>
      </c>
      <c r="G73" s="5">
        <f>('📊 Цены'!G72-'📊 Цены'!G71)/'📊 Цены'!G71</f>
        <v>-1.6652633548507823E-2</v>
      </c>
      <c r="H73" s="5">
        <f>('📊 Цены'!H72-'📊 Цены'!H71)/'📊 Цены'!H71</f>
        <v>4.8689138576779055E-2</v>
      </c>
      <c r="I73" s="5">
        <f>('📊 Цены'!I72-'📊 Цены'!I71)/'📊 Цены'!I71</f>
        <v>9.8229633753188009E-3</v>
      </c>
    </row>
    <row r="74" spans="1:9" x14ac:dyDescent="0.35">
      <c r="A74" s="2">
        <f>'📊 Цены'!A73</f>
        <v>45985</v>
      </c>
      <c r="B74" s="3">
        <v>70</v>
      </c>
      <c r="C74" s="5">
        <f>('📊 Цены'!C73-'📊 Цены'!C72)/'📊 Цены'!C72</f>
        <v>-1.6509823344886926E-4</v>
      </c>
      <c r="D74" s="5">
        <f>('📊 Цены'!D73-'📊 Цены'!D72)/'📊 Цены'!D72</f>
        <v>1.3182801514333533E-3</v>
      </c>
      <c r="E74" s="5">
        <f>('📊 Цены'!E73-'📊 Цены'!E72)/'📊 Цены'!E72</f>
        <v>-4.725810337478582E-3</v>
      </c>
      <c r="F74" s="5">
        <f>('📊 Цены'!F73-'📊 Цены'!F72)/'📊 Цены'!F72</f>
        <v>6.3146997929606707E-2</v>
      </c>
      <c r="G74" s="5">
        <f>('📊 Цены'!G73-'📊 Цены'!G72)/'📊 Цены'!G72</f>
        <v>-1.1987441727713872E-2</v>
      </c>
      <c r="H74" s="5">
        <f>('📊 Цены'!H73-'📊 Цены'!H72)/'📊 Цены'!H72</f>
        <v>0</v>
      </c>
      <c r="I74" s="5">
        <f>('📊 Цены'!I73-'📊 Цены'!I72)/'📊 Цены'!I72</f>
        <v>1.546723529794837E-2</v>
      </c>
    </row>
    <row r="75" spans="1:9" x14ac:dyDescent="0.35">
      <c r="A75" s="2">
        <f>'📊 Цены'!A74</f>
        <v>45986</v>
      </c>
      <c r="B75" s="3">
        <v>71</v>
      </c>
      <c r="C75" s="5">
        <f>('📊 Цены'!C74-'📊 Цены'!C73)/'📊 Цены'!C73</f>
        <v>1.0898282694848029E-2</v>
      </c>
      <c r="D75" s="5">
        <f>('📊 Цены'!D74-'📊 Цены'!D73)/'📊 Цены'!D73</f>
        <v>2.6634709516254216E-2</v>
      </c>
      <c r="E75" s="5">
        <f>('📊 Цены'!E74-'📊 Цены'!E73)/'📊 Цены'!E73</f>
        <v>1.6032325338894707E-2</v>
      </c>
      <c r="F75" s="5">
        <f>('📊 Цены'!F74-'📊 Цены'!F73)/'📊 Цены'!F73</f>
        <v>1.5265257404906283E-2</v>
      </c>
      <c r="G75" s="5">
        <f>('📊 Цены'!G74-'📊 Цены'!G73)/'📊 Цены'!G73</f>
        <v>2.8213769860375607E-2</v>
      </c>
      <c r="H75" s="5">
        <f>('📊 Цены'!H74-'📊 Цены'!H73)/'📊 Цены'!H73</f>
        <v>0</v>
      </c>
      <c r="I75" s="5">
        <f>('📊 Цены'!I74-'📊 Цены'!I73)/'📊 Цены'!I73</f>
        <v>9.0617319302264861E-3</v>
      </c>
    </row>
    <row r="76" spans="1:9" x14ac:dyDescent="0.35">
      <c r="A76" s="2">
        <f>'📊 Цены'!A75</f>
        <v>45987</v>
      </c>
      <c r="B76" s="3">
        <v>72</v>
      </c>
      <c r="C76" s="5">
        <f>('📊 Цены'!C75-'📊 Цены'!C74)/'📊 Цены'!C74</f>
        <v>9.9640640313622911E-3</v>
      </c>
      <c r="D76" s="5">
        <f>('📊 Цены'!D75-'📊 Цены'!D74)/'📊 Цены'!D74</f>
        <v>1.742733131658466E-3</v>
      </c>
      <c r="E76" s="5">
        <f>('📊 Цены'!E75-'📊 Цены'!E74)/'📊 Цены'!E74</f>
        <v>-2.8223220012828071E-3</v>
      </c>
      <c r="F76" s="5">
        <f>('📊 Цены'!F75-'📊 Цены'!F74)/'📊 Цены'!F74</f>
        <v>-1.0797265105342973E-2</v>
      </c>
      <c r="G76" s="5">
        <f>('📊 Цены'!G75-'📊 Цены'!G74)/'📊 Цены'!G74</f>
        <v>1.9666604233002382E-2</v>
      </c>
      <c r="H76" s="5">
        <f>('📊 Цены'!H75-'📊 Цены'!H74)/'📊 Цены'!H74</f>
        <v>0</v>
      </c>
      <c r="I76" s="5">
        <f>('📊 Цены'!I75-'📊 Цены'!I74)/'📊 Цены'!I74</f>
        <v>6.9067142781130556E-3</v>
      </c>
    </row>
    <row r="77" spans="1:9" x14ac:dyDescent="0.35">
      <c r="A77" s="2">
        <f>'📊 Цены'!A76</f>
        <v>45989</v>
      </c>
      <c r="B77" s="3">
        <v>73</v>
      </c>
      <c r="C77" s="5">
        <f>('📊 Цены'!C76-'📊 Цены'!C75)/'📊 Цены'!C75</f>
        <v>1.3909105612162373E-2</v>
      </c>
      <c r="D77" s="5">
        <f>('📊 Цены'!D76-'📊 Цены'!D75)/'📊 Цены'!D75</f>
        <v>4.5954373871670182E-4</v>
      </c>
      <c r="E77" s="5">
        <f>('📊 Цены'!E76-'📊 Цены'!E75)/'📊 Цены'!E75</f>
        <v>1.0273657900057033E-2</v>
      </c>
      <c r="F77" s="5">
        <f>('📊 Цены'!F76-'📊 Цены'!F75)/'📊 Цены'!F75</f>
        <v>7.1933445924819597E-4</v>
      </c>
      <c r="G77" s="5">
        <f>('📊 Цены'!G76-'📊 Цены'!G75)/'📊 Цены'!G75</f>
        <v>1.2950036737692973E-2</v>
      </c>
      <c r="H77" s="5">
        <f>('📊 Цены'!H76-'📊 Цены'!H75)/'📊 Цены'!H75</f>
        <v>7.1428571428571425E-2</v>
      </c>
      <c r="I77" s="5">
        <f>('📊 Цены'!I76-'📊 Цены'!I75)/'📊 Цены'!I75</f>
        <v>5.3547759228842508E-3</v>
      </c>
    </row>
    <row r="78" spans="1:9" x14ac:dyDescent="0.35">
      <c r="A78" s="2">
        <f>'📊 Цены'!A77</f>
        <v>45992</v>
      </c>
      <c r="B78" s="3">
        <v>74</v>
      </c>
      <c r="C78" s="5">
        <f>('📊 Цены'!C77-'📊 Цены'!C76)/'📊 Цены'!C76</f>
        <v>-1.7546658159195954E-3</v>
      </c>
      <c r="D78" s="5">
        <f>('📊 Цены'!D77-'📊 Цены'!D76)/'📊 Цены'!D76</f>
        <v>-4.4292791758260529E-3</v>
      </c>
      <c r="E78" s="5">
        <f>('📊 Цены'!E77-'📊 Цены'!E76)/'📊 Цены'!E76</f>
        <v>-1.1915590321993939E-2</v>
      </c>
      <c r="F78" s="5">
        <f>('📊 Цены'!F77-'📊 Цены'!F76)/'📊 Цены'!F76</f>
        <v>-1.6532799949995375E-2</v>
      </c>
      <c r="G78" s="5">
        <f>('📊 Цены'!G77-'📊 Цены'!G76)/'📊 Цены'!G76</f>
        <v>9.1576752198747925E-3</v>
      </c>
      <c r="H78" s="5">
        <f>('📊 Цены'!H77-'📊 Цены'!H76)/'📊 Цены'!H76</f>
        <v>4.000000000000033E-3</v>
      </c>
      <c r="I78" s="5">
        <f>('📊 Цены'!I77-'📊 Цены'!I76)/'📊 Цены'!I76</f>
        <v>-5.3233349247856334E-3</v>
      </c>
    </row>
    <row r="79" spans="1:9" x14ac:dyDescent="0.35">
      <c r="A79" s="2">
        <f>'📊 Цены'!A78</f>
        <v>45993</v>
      </c>
      <c r="B79" s="3">
        <v>75</v>
      </c>
      <c r="C79" s="5">
        <f>('📊 Цены'!C78-'📊 Цены'!C77)/'📊 Цены'!C77</f>
        <v>5.1134547778843124E-3</v>
      </c>
      <c r="D79" s="5">
        <f>('📊 Цены'!D78-'📊 Цены'!D77)/'📊 Цены'!D77</f>
        <v>3.9876087529659224E-3</v>
      </c>
      <c r="E79" s="5">
        <f>('📊 Цены'!E78-'📊 Цены'!E77)/'📊 Цены'!E77</f>
        <v>3.571757341434327E-3</v>
      </c>
      <c r="F79" s="5">
        <f>('📊 Цены'!F78-'📊 Цены'!F77)/'📊 Цены'!F77</f>
        <v>2.9236049319944575E-3</v>
      </c>
      <c r="G79" s="5">
        <f>('📊 Цены'!G78-'📊 Цены'!G77)/'📊 Цены'!G77</f>
        <v>7.9065588499551628E-3</v>
      </c>
      <c r="H79" s="5">
        <f>('📊 Цены'!H78-'📊 Цены'!H77)/'📊 Цены'!H77</f>
        <v>0</v>
      </c>
      <c r="I79" s="5">
        <f>('📊 Цены'!I78-'📊 Цены'!I77)/'📊 Цены'!I77</f>
        <v>2.4572008167183276E-3</v>
      </c>
    </row>
    <row r="80" spans="1:9" x14ac:dyDescent="0.35">
      <c r="A80" s="2">
        <f>'📊 Цены'!A79</f>
        <v>45994</v>
      </c>
      <c r="B80" s="3">
        <v>76</v>
      </c>
      <c r="C80" s="5">
        <f>('📊 Цены'!C79-'📊 Цены'!C78)/'📊 Цены'!C78</f>
        <v>-2.6391096979332219E-2</v>
      </c>
      <c r="D80" s="5">
        <f>('📊 Цены'!D79-'📊 Цены'!D78)/'📊 Цены'!D78</f>
        <v>6.5649105530937142E-3</v>
      </c>
      <c r="E80" s="5">
        <f>('📊 Цены'!E79-'📊 Цены'!E78)/'📊 Цены'!E78</f>
        <v>1.4327909152616898E-2</v>
      </c>
      <c r="F80" s="5">
        <f>('📊 Цены'!F79-'📊 Цены'!F78)/'📊 Цены'!F78</f>
        <v>1.2103929024081092E-2</v>
      </c>
      <c r="G80" s="5">
        <f>('📊 Цены'!G79-'📊 Цены'!G78)/'📊 Цены'!G78</f>
        <v>1.7828489926903189E-2</v>
      </c>
      <c r="H80" s="5">
        <f>('📊 Цены'!H79-'📊 Цены'!H78)/'📊 Цены'!H78</f>
        <v>3.9840637450198352E-3</v>
      </c>
      <c r="I80" s="5">
        <f>('📊 Цены'!I79-'📊 Цены'!I78)/'📊 Цены'!I78</f>
        <v>2.9797770511775412E-3</v>
      </c>
    </row>
    <row r="81" spans="1:9" x14ac:dyDescent="0.35">
      <c r="A81" s="2">
        <f>'📊 Цены'!A80</f>
        <v>45995</v>
      </c>
      <c r="B81" s="3">
        <v>77</v>
      </c>
      <c r="C81" s="5">
        <f>('📊 Цены'!C80-'📊 Цены'!C79)/'📊 Цены'!C79</f>
        <v>8.0013063357281984E-3</v>
      </c>
      <c r="D81" s="5">
        <f>('📊 Цены'!D80-'📊 Цены'!D79)/'📊 Цены'!D79</f>
        <v>-3.4730148377629146E-2</v>
      </c>
      <c r="E81" s="5">
        <f>('📊 Цены'!E80-'📊 Цены'!E79)/'📊 Цены'!E79</f>
        <v>-2.0618556701030889E-2</v>
      </c>
      <c r="F81" s="5">
        <f>('📊 Цены'!F80-'📊 Цены'!F79)/'📊 Цены'!F79</f>
        <v>-6.2926554379813121E-3</v>
      </c>
      <c r="G81" s="5">
        <f>('📊 Цены'!G80-'📊 Цены'!G79)/'📊 Цены'!G79</f>
        <v>3.7659835347695972E-3</v>
      </c>
      <c r="H81" s="5">
        <f>('📊 Цены'!H80-'📊 Цены'!H79)/'📊 Цены'!H79</f>
        <v>-9.2592592592591807E-3</v>
      </c>
      <c r="I81" s="5">
        <f>('📊 Цены'!I80-'📊 Цены'!I79)/'📊 Цены'!I79</f>
        <v>1.08033613052791E-3</v>
      </c>
    </row>
    <row r="82" spans="1:9" x14ac:dyDescent="0.35">
      <c r="A82" s="2">
        <f>'📊 Цены'!A81</f>
        <v>45996</v>
      </c>
      <c r="B82" s="3">
        <v>78</v>
      </c>
      <c r="C82" s="5">
        <f>('📊 Цены'!C81-'📊 Цены'!C80)/'📊 Цены'!C80</f>
        <v>8.9097683460230732E-3</v>
      </c>
      <c r="D82" s="5">
        <f>('📊 Цены'!D81-'📊 Цены'!D80)/'📊 Цены'!D80</f>
        <v>-1.1520270270270356E-2</v>
      </c>
      <c r="E82" s="5">
        <f>('📊 Цены'!E81-'📊 Цены'!E80)/'📊 Цены'!E80</f>
        <v>5.9095106186519766E-3</v>
      </c>
      <c r="F82" s="5">
        <f>('📊 Цены'!F81-'📊 Цены'!F80)/'📊 Цены'!F80</f>
        <v>1.1499322642638785E-2</v>
      </c>
      <c r="G82" s="5">
        <f>('📊 Цены'!G81-'📊 Цены'!G80)/'📊 Цены'!G80</f>
        <v>2.3558153738765905E-3</v>
      </c>
      <c r="H82" s="5">
        <f>('📊 Цены'!H81-'📊 Цены'!H80)/'📊 Цены'!H80</f>
        <v>0</v>
      </c>
      <c r="I82" s="5">
        <f>('📊 Цены'!I81-'📊 Цены'!I80)/'📊 Цены'!I80</f>
        <v>1.9366731222437037E-3</v>
      </c>
    </row>
    <row r="83" spans="1:9" x14ac:dyDescent="0.35">
      <c r="A83" s="2">
        <f>'📊 Цены'!A82</f>
        <v>45999</v>
      </c>
      <c r="B83" s="3">
        <v>79</v>
      </c>
      <c r="C83" s="5">
        <f>('📊 Цены'!C82-'📊 Цены'!C81)/'📊 Цены'!C81</f>
        <v>-1.8625561978163192E-2</v>
      </c>
      <c r="D83" s="5">
        <f>('📊 Цены'!D82-'📊 Цены'!D81)/'📊 Цены'!D81</f>
        <v>-1.6302676099661583E-2</v>
      </c>
      <c r="E83" s="5">
        <f>('📊 Цены'!E82-'📊 Цены'!E81)/'📊 Цены'!E81</f>
        <v>-9.3078758949881584E-3</v>
      </c>
      <c r="F83" s="5">
        <f>('📊 Цены'!F82-'📊 Цены'!F81)/'📊 Цены'!F81</f>
        <v>-2.286177038559763E-2</v>
      </c>
      <c r="G83" s="5">
        <f>('📊 Цены'!G82-'📊 Цены'!G81)/'📊 Цены'!G81</f>
        <v>-1.3492339832869056E-2</v>
      </c>
      <c r="H83" s="5">
        <f>('📊 Цены'!H82-'📊 Цены'!H81)/'📊 Цены'!H81</f>
        <v>0.11348464619492651</v>
      </c>
      <c r="I83" s="5">
        <f>('📊 Цены'!I82-'📊 Цены'!I81)/'📊 Цены'!I81</f>
        <v>-3.4772356776897151E-3</v>
      </c>
    </row>
    <row r="84" spans="1:9" x14ac:dyDescent="0.35">
      <c r="A84" s="2">
        <f>'📊 Цены'!A83</f>
        <v>46000</v>
      </c>
      <c r="B84" s="3">
        <v>80</v>
      </c>
      <c r="C84" s="5">
        <f>('📊 Цены'!C83-'📊 Цены'!C82)/'📊 Цены'!C82</f>
        <v>-5.56282722513083E-3</v>
      </c>
      <c r="D84" s="5">
        <f>('📊 Цены'!D83-'📊 Цены'!D82)/'📊 Цены'!D82</f>
        <v>-1.3828086998818769E-2</v>
      </c>
      <c r="E84" s="5">
        <f>('📊 Цены'!E83-'📊 Цены'!E82)/'📊 Цены'!E82</f>
        <v>-5.3555213757574384E-3</v>
      </c>
      <c r="F84" s="5">
        <f>('📊 Цены'!F83-'📊 Цены'!F82)/'📊 Цены'!F82</f>
        <v>1.0710187428279856E-2</v>
      </c>
      <c r="G84" s="5">
        <f>('📊 Цены'!G83-'📊 Цены'!G82)/'📊 Цены'!G82</f>
        <v>1.3235683402453013E-2</v>
      </c>
      <c r="H84" s="5">
        <f>('📊 Цены'!H83-'📊 Цены'!H82)/'📊 Цены'!H82</f>
        <v>0</v>
      </c>
      <c r="I84" s="5">
        <f>('📊 Цены'!I83-'📊 Цены'!I82)/'📊 Цены'!I82</f>
        <v>-8.7635890402555454E-4</v>
      </c>
    </row>
    <row r="85" spans="1:9" x14ac:dyDescent="0.35">
      <c r="A85" s="2">
        <f>'📊 Цены'!A84</f>
        <v>46001</v>
      </c>
      <c r="B85" s="3">
        <v>81</v>
      </c>
      <c r="C85" s="5">
        <f>('📊 Цены'!C84-'📊 Цены'!C83)/'📊 Цены'!C83</f>
        <v>6.252056597564914E-3</v>
      </c>
      <c r="D85" s="5">
        <f>('📊 Цены'!D84-'📊 Цены'!D83)/'📊 Цены'!D83</f>
        <v>1.0992108229988744E-2</v>
      </c>
      <c r="E85" s="5">
        <f>('📊 Цены'!E84-'📊 Цены'!E83)/'📊 Цены'!E83</f>
        <v>2.4406602824457754E-3</v>
      </c>
      <c r="F85" s="5">
        <f>('📊 Цены'!F84-'📊 Цены'!F83)/'📊 Цены'!F83</f>
        <v>9.8713258483663288E-3</v>
      </c>
      <c r="G85" s="5">
        <f>('📊 Цены'!G84-'📊 Цены'!G83)/'📊 Цены'!G83</f>
        <v>-1.6372028215623054E-2</v>
      </c>
      <c r="H85" s="5">
        <f>('📊 Цены'!H84-'📊 Цены'!H83)/'📊 Цены'!H83</f>
        <v>0</v>
      </c>
      <c r="I85" s="5">
        <f>('📊 Цены'!I84-'📊 Цены'!I83)/'📊 Цены'!I83</f>
        <v>6.749496748049498E-3</v>
      </c>
    </row>
    <row r="86" spans="1:9" x14ac:dyDescent="0.35">
      <c r="A86" s="2">
        <f>'📊 Цены'!A85</f>
        <v>46002</v>
      </c>
      <c r="B86" s="3">
        <v>82</v>
      </c>
      <c r="C86" s="5">
        <f>('📊 Цены'!C85-'📊 Цены'!C84)/'📊 Цены'!C84</f>
        <v>8.6657946370176774E-3</v>
      </c>
      <c r="D86" s="5">
        <f>('📊 Цены'!D85-'📊 Цены'!D84)/'📊 Цены'!D84</f>
        <v>3.3105659325341513E-2</v>
      </c>
      <c r="E86" s="5">
        <f>('📊 Цены'!E85-'📊 Цены'!E84)/'📊 Цены'!E84</f>
        <v>4.5497630331753594E-2</v>
      </c>
      <c r="F86" s="5">
        <f>('📊 Цены'!F85-'📊 Цены'!F84)/'📊 Цены'!F84</f>
        <v>-2.4296555385528162E-2</v>
      </c>
      <c r="G86" s="5">
        <f>('📊 Цены'!G85-'📊 Цены'!G84)/'📊 Цены'!G84</f>
        <v>2.062859672421424E-2</v>
      </c>
      <c r="H86" s="5">
        <f>('📊 Цены'!H85-'📊 Цены'!H84)/'📊 Цены'!H84</f>
        <v>-5.9952038369292626E-4</v>
      </c>
      <c r="I86" s="5">
        <f>('📊 Цены'!I85-'📊 Цены'!I84)/'📊 Цены'!I84</f>
        <v>2.0793764194066964E-3</v>
      </c>
    </row>
    <row r="87" spans="1:9" x14ac:dyDescent="0.35">
      <c r="A87" s="2">
        <f>'📊 Цены'!A86</f>
        <v>46003</v>
      </c>
      <c r="B87" s="3">
        <v>83</v>
      </c>
      <c r="C87" s="5">
        <f>('📊 Цены'!C86-'📊 Цены'!C85)/'📊 Цены'!C85</f>
        <v>-4.863024801426672E-4</v>
      </c>
      <c r="D87" s="5">
        <f>('📊 Цены'!D86-'📊 Цены'!D85)/'📊 Цены'!D85</f>
        <v>7.6232881333065097E-3</v>
      </c>
      <c r="E87" s="5">
        <f>('📊 Цены'!E86-'📊 Цены'!E85)/'📊 Цены'!E85</f>
        <v>1.5181412546886526E-2</v>
      </c>
      <c r="F87" s="5">
        <f>('📊 Цены'!F86-'📊 Цены'!F85)/'📊 Цены'!F85</f>
        <v>-1.0050251256281364E-2</v>
      </c>
      <c r="G87" s="5">
        <f>('📊 Цены'!G86-'📊 Цены'!G85)/'📊 Цены'!G85</f>
        <v>1.231783483691882E-2</v>
      </c>
      <c r="H87" s="5">
        <f>('📊 Цены'!H86-'📊 Цены'!H85)/'📊 Цены'!H85</f>
        <v>0</v>
      </c>
      <c r="I87" s="5">
        <f>('📊 Цены'!I86-'📊 Цены'!I85)/'📊 Цены'!I85</f>
        <v>-1.0663671931604137E-2</v>
      </c>
    </row>
    <row r="88" spans="1:9" x14ac:dyDescent="0.35">
      <c r="A88" s="2">
        <f>'📊 Цены'!A87</f>
        <v>46006</v>
      </c>
      <c r="B88" s="3">
        <v>84</v>
      </c>
      <c r="C88" s="5">
        <f>('📊 Цены'!C87-'📊 Цены'!C86)/'📊 Цены'!C86</f>
        <v>-1.4920531949399848E-2</v>
      </c>
      <c r="D88" s="5">
        <f>('📊 Цены'!D87-'📊 Цены'!D86)/'📊 Цены'!D86</f>
        <v>3.2706213176218468E-2</v>
      </c>
      <c r="E88" s="5">
        <f>('📊 Цены'!E87-'📊 Цены'!E86)/'📊 Цены'!E86</f>
        <v>-4.8855656924721609E-3</v>
      </c>
      <c r="F88" s="5">
        <f>('📊 Цены'!F87-'📊 Цены'!F86)/'📊 Цены'!F86</f>
        <v>-3.4595363574638468E-3</v>
      </c>
      <c r="G88" s="5">
        <f>('📊 Цены'!G87-'📊 Цены'!G86)/'📊 Цены'!G86</f>
        <v>7.7120822622110891E-4</v>
      </c>
      <c r="H88" s="5">
        <f>('📊 Цены'!H87-'📊 Цены'!H86)/'📊 Цены'!H86</f>
        <v>-0.10017996400719865</v>
      </c>
      <c r="I88" s="5">
        <f>('📊 Цены'!I87-'📊 Цены'!I86)/'📊 Цены'!I86</f>
        <v>-1.5965058492165604E-3</v>
      </c>
    </row>
    <row r="89" spans="1:9" x14ac:dyDescent="0.35">
      <c r="A89" s="2">
        <f>'📊 Цены'!A88</f>
        <v>46007</v>
      </c>
      <c r="B89" s="3">
        <v>85</v>
      </c>
      <c r="C89" s="5">
        <f>('📊 Цены'!C88-'📊 Цены'!C87)/'📊 Цены'!C87</f>
        <v>9.7135330918669133E-3</v>
      </c>
      <c r="D89" s="5">
        <f>('📊 Цены'!D88-'📊 Цены'!D87)/'📊 Цены'!D87</f>
        <v>-8.168822328114304E-3</v>
      </c>
      <c r="E89" s="5">
        <f>('📊 Цены'!E88-'📊 Цены'!E87)/'📊 Цены'!E87</f>
        <v>-5.4726543253326067E-3</v>
      </c>
      <c r="F89" s="5">
        <f>('📊 Цены'!F88-'📊 Цены'!F87)/'📊 Цены'!F87</f>
        <v>-5.3533190578159556E-3</v>
      </c>
      <c r="G89" s="5">
        <f>('📊 Цены'!G88-'📊 Цены'!G87)/'📊 Цены'!G87</f>
        <v>-1.1730456374689653E-2</v>
      </c>
      <c r="H89" s="5">
        <f>('📊 Цены'!H88-'📊 Цены'!H87)/'📊 Цены'!H87</f>
        <v>0</v>
      </c>
      <c r="I89" s="5">
        <f>('📊 Цены'!I88-'📊 Цены'!I87)/'📊 Цены'!I87</f>
        <v>-2.3839178699950562E-3</v>
      </c>
    </row>
    <row r="90" spans="1:9" x14ac:dyDescent="0.35">
      <c r="A90" s="2">
        <f>'📊 Цены'!A89</f>
        <v>46008</v>
      </c>
      <c r="B90" s="3">
        <v>86</v>
      </c>
      <c r="C90" s="5">
        <f>('📊 Цены'!C89-'📊 Цены'!C88)/'📊 Цены'!C88</f>
        <v>-1.8751019077123735E-2</v>
      </c>
      <c r="D90" s="5">
        <f>('📊 Цены'!D89-'📊 Цены'!D88)/'📊 Цены'!D88</f>
        <v>1.3400006536588441E-2</v>
      </c>
      <c r="E90" s="5">
        <f>('📊 Цены'!E89-'📊 Цены'!E88)/'📊 Цены'!E88</f>
        <v>-9.7315851867571632E-4</v>
      </c>
      <c r="F90" s="5">
        <f>('📊 Цены'!F89-'📊 Цены'!F88)/'📊 Цены'!F88</f>
        <v>-3.2129693055419531E-2</v>
      </c>
      <c r="G90" s="5">
        <f>('📊 Цены'!G89-'📊 Цены'!G88)/'📊 Цены'!G88</f>
        <v>2.0793623288857641E-3</v>
      </c>
      <c r="H90" s="5">
        <f>('📊 Цены'!H89-'📊 Цены'!H88)/'📊 Цены'!H88</f>
        <v>0</v>
      </c>
      <c r="I90" s="5">
        <f>('📊 Цены'!I89-'📊 Цены'!I88)/'📊 Цены'!I88</f>
        <v>-1.1592203827500702E-2</v>
      </c>
    </row>
    <row r="91" spans="1:9" x14ac:dyDescent="0.35">
      <c r="A91" s="2">
        <f>'📊 Цены'!A90</f>
        <v>46009</v>
      </c>
      <c r="B91" s="3">
        <v>87</v>
      </c>
      <c r="C91" s="5">
        <f>('📊 Цены'!C90-'📊 Цены'!C89)/'📊 Цены'!C89</f>
        <v>-1.2296444001329378E-2</v>
      </c>
      <c r="D91" s="5">
        <f>('📊 Цены'!D90-'📊 Цены'!D89)/'📊 Цены'!D89</f>
        <v>-1.0481504176476281E-2</v>
      </c>
      <c r="E91" s="5">
        <f>('📊 Цены'!E90-'📊 Цены'!E89)/'📊 Цены'!E89</f>
        <v>1.3106159895150881E-3</v>
      </c>
      <c r="F91" s="5">
        <f>('📊 Цены'!F90-'📊 Цены'!F89)/'📊 Цены'!F89</f>
        <v>1.9344836883256781E-2</v>
      </c>
      <c r="G91" s="5">
        <f>('📊 Цены'!G90-'📊 Цены'!G89)/'📊 Цены'!G89</f>
        <v>-7.1762061213902677E-3</v>
      </c>
      <c r="H91" s="5">
        <f>('📊 Цены'!H90-'📊 Цены'!H89)/'📊 Цены'!H89</f>
        <v>0</v>
      </c>
      <c r="I91" s="5">
        <f>('📊 Цены'!I90-'📊 Цены'!I89)/'📊 Цены'!I89</f>
        <v>7.9343234996124227E-3</v>
      </c>
    </row>
    <row r="92" spans="1:9" x14ac:dyDescent="0.35">
      <c r="A92" s="2">
        <f>'📊 Цены'!A91</f>
        <v>46010</v>
      </c>
      <c r="B92" s="3">
        <v>88</v>
      </c>
      <c r="C92" s="5">
        <f>('📊 Цены'!C91-'📊 Цены'!C90)/'📊 Цены'!C90</f>
        <v>6.2247644683715436E-3</v>
      </c>
      <c r="D92" s="5">
        <f>('📊 Цены'!D91-'📊 Цены'!D90)/'📊 Цены'!D90</f>
        <v>1.0885861417117632E-2</v>
      </c>
      <c r="E92" s="5">
        <f>('📊 Цены'!E91-'📊 Цены'!E90)/'📊 Цены'!E90</f>
        <v>1.0630394792698441E-2</v>
      </c>
      <c r="F92" s="5">
        <f>('📊 Цены'!F91-'📊 Цены'!F90)/'📊 Цены'!F90</f>
        <v>1.5539244858824458E-2</v>
      </c>
      <c r="G92" s="5">
        <f>('📊 Цены'!G91-'📊 Цены'!G90)/'📊 Цены'!G90</f>
        <v>-4.0930070539057636E-3</v>
      </c>
      <c r="H92" s="5">
        <f>('📊 Цены'!H91-'📊 Цены'!H90)/'📊 Цены'!H90</f>
        <v>5.6666666666666643E-2</v>
      </c>
      <c r="I92" s="5">
        <f>('📊 Цены'!I91-'📊 Цены'!I90)/'📊 Цены'!I90</f>
        <v>8.818024549947125E-3</v>
      </c>
    </row>
    <row r="93" spans="1:9" x14ac:dyDescent="0.35">
      <c r="A93" s="2">
        <f>'📊 Цены'!A92</f>
        <v>46013</v>
      </c>
      <c r="B93" s="3">
        <v>89</v>
      </c>
      <c r="C93" s="5">
        <f>('📊 Цены'!C92-'📊 Цены'!C91)/'📊 Цены'!C91</f>
        <v>8.3598060524991068E-4</v>
      </c>
      <c r="D93" s="5">
        <f>('📊 Цены'!D92-'📊 Цены'!D91)/'📊 Цены'!D91</f>
        <v>1.1574671137477349E-2</v>
      </c>
      <c r="E93" s="5">
        <f>('📊 Цены'!E92-'📊 Цены'!E91)/'📊 Цены'!E91</f>
        <v>6.0731224950557909E-3</v>
      </c>
      <c r="F93" s="5">
        <f>('📊 Цены'!F92-'📊 Цены'!F91)/'📊 Цены'!F91</f>
        <v>8.5297564787079946E-3</v>
      </c>
      <c r="G93" s="5">
        <f>('📊 Цены'!G92-'📊 Цены'!G91)/'📊 Цены'!G91</f>
        <v>-1.5389996502273568E-2</v>
      </c>
      <c r="H93" s="5">
        <f>('📊 Цены'!H92-'📊 Цены'!H91)/'📊 Цены'!H91</f>
        <v>-1.5141955835962159E-2</v>
      </c>
      <c r="I93" s="5">
        <f>('📊 Цены'!I92-'📊 Цены'!I91)/'📊 Цены'!I91</f>
        <v>6.4364620674518666E-3</v>
      </c>
    </row>
    <row r="94" spans="1:9" x14ac:dyDescent="0.35">
      <c r="A94" s="2">
        <f>'📊 Цены'!A93</f>
        <v>46014</v>
      </c>
      <c r="B94" s="3">
        <v>90</v>
      </c>
      <c r="C94" s="5">
        <f>('📊 Цены'!C93-'📊 Цены'!C92)/'📊 Цены'!C92</f>
        <v>-7.5175409288339937E-3</v>
      </c>
      <c r="D94" s="5">
        <f>('📊 Цены'!D93-'📊 Цены'!D92)/'📊 Цены'!D92</f>
        <v>1.0199203187250779E-3</v>
      </c>
      <c r="E94" s="5">
        <f>('📊 Цены'!E93-'📊 Цены'!E92)/'📊 Цены'!E92</f>
        <v>1.1307494259271749E-3</v>
      </c>
      <c r="F94" s="5">
        <f>('📊 Цены'!F93-'📊 Цены'!F92)/'📊 Цены'!F92</f>
        <v>1.4752404932532928E-2</v>
      </c>
      <c r="G94" s="5">
        <f>('📊 Цены'!G93-'📊 Цены'!G92)/'📊 Цены'!G92</f>
        <v>-1.5097690941385335E-2</v>
      </c>
      <c r="H94" s="5">
        <f>('📊 Цены'!H93-'📊 Цены'!H92)/'📊 Цены'!H92</f>
        <v>-7.0467648942984908E-3</v>
      </c>
      <c r="I94" s="5">
        <f>('📊 Цены'!I93-'📊 Цены'!I92)/'📊 Цены'!I92</f>
        <v>4.550417315428267E-3</v>
      </c>
    </row>
    <row r="95" spans="1:9" x14ac:dyDescent="0.35">
      <c r="A95" s="2">
        <f>'📊 Цены'!A94</f>
        <v>46015</v>
      </c>
      <c r="B95" s="3">
        <v>91</v>
      </c>
      <c r="C95" s="5">
        <f>('📊 Цены'!C94-'📊 Цены'!C93)/'📊 Цены'!C93</f>
        <v>1.0604275374516118E-2</v>
      </c>
      <c r="D95" s="5">
        <f>('📊 Цены'!D94-'📊 Цены'!D93)/'📊 Цены'!D93</f>
        <v>3.470563887031655E-3</v>
      </c>
      <c r="E95" s="5">
        <f>('📊 Цены'!E94-'📊 Цены'!E93)/'📊 Цены'!E93</f>
        <v>5.3693374341865748E-3</v>
      </c>
      <c r="F95" s="5">
        <f>('📊 Цены'!F94-'📊 Цены'!F93)/'📊 Цены'!F93</f>
        <v>-8.271035470019015E-4</v>
      </c>
      <c r="G95" s="5">
        <f>('📊 Цены'!G94-'📊 Цены'!G93)/'📊 Цены'!G93</f>
        <v>6.4021641118123867E-3</v>
      </c>
      <c r="H95" s="5">
        <f>('📊 Цены'!H94-'📊 Цены'!H93)/'📊 Цены'!H93</f>
        <v>0</v>
      </c>
      <c r="I95" s="5">
        <f>('📊 Цены'!I94-'📊 Цены'!I93)/'📊 Цены'!I93</f>
        <v>3.2215161386959976E-3</v>
      </c>
    </row>
    <row r="96" spans="1:9" x14ac:dyDescent="0.35">
      <c r="A96" s="2">
        <f>'📊 Цены'!A95</f>
        <v>46017</v>
      </c>
      <c r="B96" s="3">
        <v>92</v>
      </c>
      <c r="C96" s="5">
        <f>('📊 Цены'!C95-'📊 Цены'!C94)/'📊 Цены'!C94</f>
        <v>-1.1658894070619634E-3</v>
      </c>
      <c r="D96" s="5">
        <f>('📊 Цены'!D95-'📊 Цены'!D94)/'📊 Цены'!D94</f>
        <v>1.3326564284806418E-3</v>
      </c>
      <c r="E96" s="5">
        <f>('📊 Цены'!E95-'📊 Цены'!E94)/'📊 Цены'!E94</f>
        <v>2.5925541843820602E-4</v>
      </c>
      <c r="F96" s="5">
        <f>('📊 Цены'!F95-'📊 Цены'!F94)/'📊 Цены'!F94</f>
        <v>-1.8466044764239044E-3</v>
      </c>
      <c r="G96" s="5">
        <f>('📊 Цены'!G95-'📊 Цены'!G94)/'📊 Цены'!G94</f>
        <v>1.164770181883303E-3</v>
      </c>
      <c r="H96" s="5">
        <f>('📊 Цены'!H95-'📊 Цены'!H94)/'📊 Цены'!H94</f>
        <v>0</v>
      </c>
      <c r="I96" s="5">
        <f>('📊 Цены'!I95-'📊 Цены'!I94)/'📊 Цены'!I94</f>
        <v>-3.0438326324832942E-4</v>
      </c>
    </row>
    <row r="97" spans="1:9" x14ac:dyDescent="0.35">
      <c r="A97" s="2">
        <f>'📊 Цены'!A96</f>
        <v>46020</v>
      </c>
      <c r="B97" s="3">
        <v>93</v>
      </c>
      <c r="C97" s="5">
        <f>('📊 Цены'!C96-'📊 Цены'!C95)/'📊 Цены'!C95</f>
        <v>-8.0040020010004476E-3</v>
      </c>
      <c r="D97" s="5">
        <f>('📊 Цены'!D96-'📊 Цены'!D95)/'📊 Цены'!D95</f>
        <v>-3.7074592813231481E-3</v>
      </c>
      <c r="E97" s="5">
        <f>('📊 Цены'!E96-'📊 Цены'!E95)/'📊 Цены'!E95</f>
        <v>-2.9374665215213406E-3</v>
      </c>
      <c r="F97" s="5">
        <f>('📊 Цены'!F96-'📊 Цены'!F95)/'📊 Цены'!F95</f>
        <v>1.5948454594753395E-4</v>
      </c>
      <c r="G97" s="5">
        <f>('📊 Цены'!G96-'📊 Цены'!G95)/'📊 Цены'!G95</f>
        <v>7.0699838911760004E-3</v>
      </c>
      <c r="H97" s="5">
        <f>('📊 Цены'!H96-'📊 Цены'!H95)/'📊 Цены'!H95</f>
        <v>3.0322580645161332E-2</v>
      </c>
      <c r="I97" s="5">
        <f>('📊 Цены'!I96-'📊 Цены'!I95)/'📊 Цены'!I95</f>
        <v>-3.492093726641186E-3</v>
      </c>
    </row>
    <row r="98" spans="1:9" x14ac:dyDescent="0.35">
      <c r="A98" s="2">
        <f>'📊 Цены'!A97</f>
        <v>46021</v>
      </c>
      <c r="B98" s="3">
        <v>94</v>
      </c>
      <c r="C98" s="5">
        <f>('📊 Цены'!C97-'📊 Цены'!C96)/'📊 Цены'!C96</f>
        <v>-6.5557236510337966E-3</v>
      </c>
      <c r="D98" s="5">
        <f>('📊 Цены'!D97-'📊 Цены'!D96)/'📊 Цены'!D96</f>
        <v>-1.4948633949302733E-3</v>
      </c>
      <c r="E98" s="5">
        <f>('📊 Цены'!E97-'📊 Цены'!E96)/'📊 Цены'!E96</f>
        <v>-8.3184583123930851E-4</v>
      </c>
      <c r="F98" s="5">
        <f>('📊 Цены'!F97-'📊 Цены'!F96)/'📊 Цены'!F96</f>
        <v>9.2486286516143786E-4</v>
      </c>
      <c r="G98" s="5">
        <f>('📊 Цены'!G97-'📊 Цены'!G96)/'📊 Цены'!G96</f>
        <v>-5.4207766817737438E-3</v>
      </c>
      <c r="H98" s="5">
        <f>('📊 Цены'!H97-'📊 Цены'!H96)/'📊 Цены'!H96</f>
        <v>7.5140889167188543E-2</v>
      </c>
      <c r="I98" s="5">
        <f>('📊 Цены'!I97-'📊 Цены'!I96)/'📊 Цены'!I96</f>
        <v>-1.3756671985913169E-3</v>
      </c>
    </row>
    <row r="99" spans="1:9" x14ac:dyDescent="0.35">
      <c r="A99" s="2">
        <f>'📊 Цены'!A98</f>
        <v>46022</v>
      </c>
      <c r="B99" s="3">
        <v>95</v>
      </c>
      <c r="C99" s="5">
        <f>('📊 Цены'!C98-'📊 Цены'!C97)/'📊 Цены'!C97</f>
        <v>-1.218274111675125E-2</v>
      </c>
      <c r="D99" s="5">
        <f>('📊 Цены'!D98-'📊 Цены'!D97)/'📊 Цены'!D97</f>
        <v>-1.1785691533413993E-2</v>
      </c>
      <c r="E99" s="5">
        <f>('📊 Цены'!E98-'📊 Цены'!E97)/'📊 Цены'!E97</f>
        <v>-1.1325990807388732E-2</v>
      </c>
      <c r="F99" s="5">
        <f>('📊 Цены'!F98-'📊 Цены'!F97)/'📊 Цены'!F97</f>
        <v>-2.7083001433806679E-3</v>
      </c>
      <c r="G99" s="5">
        <f>('📊 Цены'!G98-'📊 Цены'!G97)/'📊 Цены'!G97</f>
        <v>-4.5568263045032619E-3</v>
      </c>
      <c r="H99" s="5">
        <f>('📊 Цены'!H98-'📊 Цены'!H97)/'📊 Цены'!H97</f>
        <v>1.9801980198019792E-2</v>
      </c>
      <c r="I99" s="5">
        <f>('📊 Цены'!I98-'📊 Цены'!I97)/'📊 Цены'!I97</f>
        <v>-7.3576325649919059E-3</v>
      </c>
    </row>
    <row r="100" spans="1:9" x14ac:dyDescent="0.35">
      <c r="A100" s="2">
        <f>'📊 Цены'!A99</f>
        <v>46024</v>
      </c>
      <c r="B100" s="3">
        <v>96</v>
      </c>
      <c r="C100" s="5">
        <f>('📊 Цены'!C99-'📊 Цены'!C98)/'📊 Цены'!C98</f>
        <v>-4.1109969167523464E-3</v>
      </c>
      <c r="D100" s="5">
        <f>('📊 Цены'!D99-'📊 Цены'!D98)/'📊 Цены'!D98</f>
        <v>1.0217895822589014E-2</v>
      </c>
      <c r="E100" s="5">
        <f>('📊 Цены'!E99-'📊 Цены'!E98)/'📊 Цены'!E98</f>
        <v>-1.3560927686747866E-2</v>
      </c>
      <c r="F100" s="5">
        <f>('📊 Цены'!F99-'📊 Цены'!F98)/'📊 Цены'!F98</f>
        <v>6.8690095846644641E-3</v>
      </c>
      <c r="G100" s="5">
        <f>('📊 Цены'!G99-'📊 Цены'!G98)/'📊 Цены'!G98</f>
        <v>1.2117404182748483E-2</v>
      </c>
      <c r="H100" s="5">
        <f>('📊 Цены'!H99-'📊 Цены'!H98)/'📊 Цены'!H98</f>
        <v>0</v>
      </c>
      <c r="I100" s="5">
        <f>('📊 Цены'!I99-'📊 Цены'!I98)/'📊 Цены'!I98</f>
        <v>1.8946753341611648E-3</v>
      </c>
    </row>
    <row r="101" spans="1:9" x14ac:dyDescent="0.35">
      <c r="A101" s="2">
        <f>'📊 Цены'!A100</f>
        <v>46027</v>
      </c>
      <c r="B101" s="3">
        <v>97</v>
      </c>
      <c r="C101" s="5">
        <f>('📊 Цены'!C100-'📊 Цены'!C99)/'📊 Цены'!C99</f>
        <v>1.9779841761265887E-2</v>
      </c>
      <c r="D101" s="5">
        <f>('📊 Цены'!D100-'📊 Цены'!D99)/'📊 Цены'!D99</f>
        <v>-7.593886602214518E-3</v>
      </c>
      <c r="E101" s="5">
        <f>('📊 Цены'!E100-'📊 Цены'!E99)/'📊 Цены'!E99</f>
        <v>9.6569385904071992E-3</v>
      </c>
      <c r="F101" s="5">
        <f>('📊 Цены'!F100-'📊 Цены'!F99)/'📊 Цены'!F99</f>
        <v>4.4105981278757525E-3</v>
      </c>
      <c r="G101" s="5">
        <f>('📊 Цены'!G100-'📊 Цены'!G99)/'📊 Цены'!G99</f>
        <v>-4.4341965235909336E-4</v>
      </c>
      <c r="H101" s="5">
        <f>('📊 Цены'!H100-'📊 Цены'!H99)/'📊 Цены'!H99</f>
        <v>0.11364934323243851</v>
      </c>
      <c r="I101" s="5">
        <f>('📊 Цены'!I100-'📊 Цены'!I99)/'📊 Цены'!I99</f>
        <v>6.3541868667501538E-3</v>
      </c>
    </row>
    <row r="102" spans="1:9" x14ac:dyDescent="0.35">
      <c r="A102" s="2">
        <f>'📊 Цены'!A101</f>
        <v>46028</v>
      </c>
      <c r="B102" s="3">
        <v>98</v>
      </c>
      <c r="C102" s="5">
        <f>('📊 Цены'!C101-'📊 Цены'!C100)/'📊 Цены'!C100</f>
        <v>8.7704503288919405E-3</v>
      </c>
      <c r="D102" s="5">
        <f>('📊 Цены'!D101-'📊 Цены'!D100)/'📊 Цены'!D100</f>
        <v>3.4819792302993417E-2</v>
      </c>
      <c r="E102" s="5">
        <f>('📊 Цены'!E101-'📊 Цены'!E100)/'📊 Цены'!E100</f>
        <v>2.0696822377228211E-2</v>
      </c>
      <c r="F102" s="5">
        <f>('📊 Цены'!F101-'📊 Цены'!F100)/'📊 Цены'!F100</f>
        <v>-6.9501484804449527E-3</v>
      </c>
      <c r="G102" s="5">
        <f>('📊 Цены'!G101-'📊 Цены'!G100)/'📊 Цены'!G100</f>
        <v>1.4461893354627005E-2</v>
      </c>
      <c r="H102" s="5">
        <f>('📊 Цены'!H101-'📊 Цены'!H100)/'📊 Цены'!H100</f>
        <v>-1.9487179487179436E-2</v>
      </c>
      <c r="I102" s="5">
        <f>('📊 Цены'!I101-'📊 Цены'!I100)/'📊 Цены'!I100</f>
        <v>6.1967096732129618E-3</v>
      </c>
    </row>
    <row r="103" spans="1:9" x14ac:dyDescent="0.35">
      <c r="A103" s="2">
        <f>'📊 Цены'!A102</f>
        <v>46029</v>
      </c>
      <c r="B103" s="3">
        <v>99</v>
      </c>
      <c r="C103" s="5">
        <f>('📊 Цены'!C102-'📊 Цены'!C101)/'📊 Цены'!C101</f>
        <v>-2.1735495736498984E-2</v>
      </c>
      <c r="D103" s="5">
        <f>('📊 Цены'!D102-'📊 Цены'!D101)/'📊 Цены'!D101</f>
        <v>-8.0780463555583867E-3</v>
      </c>
      <c r="E103" s="5">
        <f>('📊 Цены'!E102-'📊 Цены'!E101)/'📊 Цены'!E101</f>
        <v>-7.2480024850306789E-4</v>
      </c>
      <c r="F103" s="5">
        <f>('📊 Цены'!F102-'📊 Цены'!F101)/'📊 Цены'!F101</f>
        <v>2.430489279124529E-2</v>
      </c>
      <c r="G103" s="5">
        <f>('📊 Цены'!G102-'📊 Цены'!G101)/'📊 Цены'!G101</f>
        <v>-1.4168270071715974E-2</v>
      </c>
      <c r="H103" s="5">
        <f>('📊 Цены'!H102-'📊 Цены'!H101)/'📊 Цены'!H101</f>
        <v>0</v>
      </c>
      <c r="I103" s="5">
        <f>('📊 Цены'!I102-'📊 Цены'!I101)/'📊 Цены'!I101</f>
        <v>-3.4399739662078236E-3</v>
      </c>
    </row>
    <row r="104" spans="1:9" x14ac:dyDescent="0.35">
      <c r="A104" s="2">
        <f>'📊 Цены'!A103</f>
        <v>46030</v>
      </c>
      <c r="B104" s="3">
        <v>100</v>
      </c>
      <c r="C104" s="5">
        <f>('📊 Цены'!C103-'📊 Цены'!C102)/'📊 Цены'!C102</f>
        <v>-4.1018629294136879E-3</v>
      </c>
      <c r="D104" s="5">
        <f>('📊 Цены'!D103-'📊 Цены'!D102)/'📊 Цены'!D102</f>
        <v>1.7697174716532087E-2</v>
      </c>
      <c r="E104" s="5">
        <f>('📊 Цены'!E103-'📊 Цены'!E102)/'📊 Цены'!E102</f>
        <v>2.5904498747964937E-4</v>
      </c>
      <c r="F104" s="5">
        <f>('📊 Цены'!F103-'📊 Цены'!F102)/'📊 Цены'!F102</f>
        <v>1.0746009068886201E-2</v>
      </c>
      <c r="G104" s="5">
        <f>('📊 Цены'!G103-'📊 Цены'!G102)/'📊 Цены'!G102</f>
        <v>3.1050390347763866E-3</v>
      </c>
      <c r="H104" s="5">
        <f>('📊 Цены'!H103-'📊 Цены'!H102)/'📊 Цены'!H102</f>
        <v>-6.2761506276151147E-3</v>
      </c>
      <c r="I104" s="5">
        <f>('📊 Цены'!I103-'📊 Цены'!I102)/'📊 Цены'!I102</f>
        <v>7.6579303648461301E-5</v>
      </c>
    </row>
    <row r="105" spans="1:9" x14ac:dyDescent="0.35">
      <c r="A105" s="2">
        <f>'📊 Цены'!A104</f>
        <v>46031</v>
      </c>
      <c r="B105" s="3">
        <v>101</v>
      </c>
      <c r="C105" s="5">
        <f>('📊 Цены'!C104-'📊 Цены'!C103)/'📊 Цены'!C103</f>
        <v>-1.0468508666552368E-2</v>
      </c>
      <c r="D105" s="5">
        <f>('📊 Цены'!D104-'📊 Цены'!D103)/'📊 Цены'!D103</f>
        <v>1.006432550552455E-2</v>
      </c>
      <c r="E105" s="5">
        <f>('📊 Цены'!E104-'📊 Цены'!E103)/'📊 Цены'!E103</f>
        <v>-6.3190607734808042E-3</v>
      </c>
      <c r="F105" s="5">
        <f>('📊 Цены'!F104-'📊 Цены'!F103)/'📊 Цены'!F103</f>
        <v>9.6177482792526893E-3</v>
      </c>
      <c r="G105" s="5">
        <f>('📊 Цены'!G104-'📊 Цены'!G103)/'📊 Цены'!G103</f>
        <v>1.2912355178208261E-2</v>
      </c>
      <c r="H105" s="5">
        <f>('📊 Цены'!H104-'📊 Цены'!H103)/'📊 Цены'!H103</f>
        <v>-4.7368421052631504E-2</v>
      </c>
      <c r="I105" s="5">
        <f>('📊 Цены'!I104-'📊 Цены'!I103)/'📊 Цены'!I103</f>
        <v>6.4755123918941535E-3</v>
      </c>
    </row>
    <row r="106" spans="1:9" x14ac:dyDescent="0.35">
      <c r="A106" s="2">
        <f>'📊 Цены'!A105</f>
        <v>46034</v>
      </c>
      <c r="B106" s="3">
        <v>102</v>
      </c>
      <c r="C106" s="5">
        <f>('📊 Цены'!C105-'📊 Цены'!C104)/'📊 Цены'!C104</f>
        <v>-6.4169268123482042E-3</v>
      </c>
      <c r="D106" s="5">
        <f>('📊 Цены'!D105-'📊 Цены'!D104)/'📊 Цены'!D104</f>
        <v>-1.4717533061124943E-2</v>
      </c>
      <c r="E106" s="5">
        <f>('📊 Цены'!E105-'📊 Цены'!E104)/'📊 Цены'!E104</f>
        <v>-1.6089237933071536E-2</v>
      </c>
      <c r="F106" s="5">
        <f>('📊 Цены'!F105-'📊 Цены'!F104)/'📊 Цены'!F104</f>
        <v>1.0013087013421859E-2</v>
      </c>
      <c r="G106" s="5">
        <f>('📊 Цены'!G105-'📊 Цены'!G104)/'📊 Цены'!G104</f>
        <v>3.0035798480747382E-2</v>
      </c>
      <c r="H106" s="5">
        <f>('📊 Цены'!H105-'📊 Цены'!H104)/'📊 Цены'!H104</f>
        <v>-3.3149171270718307E-2</v>
      </c>
      <c r="I106" s="5">
        <f>('📊 Цены'!I105-'📊 Цены'!I104)/'📊 Цены'!I104</f>
        <v>1.5775995222702349E-3</v>
      </c>
    </row>
    <row r="107" spans="1:9" x14ac:dyDescent="0.35">
      <c r="A107" s="2">
        <f>'📊 Цены'!A106</f>
        <v>46035</v>
      </c>
      <c r="B107" s="3">
        <v>103</v>
      </c>
      <c r="C107" s="5">
        <f>('📊 Цены'!C106-'📊 Цены'!C105)/'📊 Цены'!C105</f>
        <v>-1.2742188863675979E-2</v>
      </c>
      <c r="D107" s="5">
        <f>('📊 Цены'!D106-'📊 Цены'!D105)/'📊 Цены'!D105</f>
        <v>-1.2061233957013861E-3</v>
      </c>
      <c r="E107" s="5">
        <f>('📊 Цены'!E106-'📊 Цены'!E105)/'📊 Цены'!E105</f>
        <v>-3.7596242141696622E-2</v>
      </c>
      <c r="F107" s="5">
        <f>('📊 Цены'!F106-'📊 Цены'!F105)/'📊 Цены'!F105</f>
        <v>1.2384740553245385E-2</v>
      </c>
      <c r="G107" s="5">
        <f>('📊 Цены'!G106-'📊 Цены'!G105)/'📊 Цены'!G105</f>
        <v>2.0259387979994919E-2</v>
      </c>
      <c r="H107" s="5">
        <f>('📊 Цены'!H106-'📊 Цены'!H105)/'📊 Цены'!H105</f>
        <v>4.2857142857142858E-2</v>
      </c>
      <c r="I107" s="5">
        <f>('📊 Цены'!I106-'📊 Цены'!I105)/'📊 Цены'!I105</f>
        <v>-1.9391538524380816E-3</v>
      </c>
    </row>
    <row r="108" spans="1:9" x14ac:dyDescent="0.35">
      <c r="A108" s="2">
        <f>'📊 Цены'!A107</f>
        <v>46036</v>
      </c>
      <c r="B108" s="3">
        <v>104</v>
      </c>
      <c r="C108" s="5">
        <f>('📊 Цены'!C107-'📊 Цены'!C106)/'📊 Цены'!C106</f>
        <v>1.9448373408769346E-2</v>
      </c>
      <c r="D108" s="5">
        <f>('📊 Цены'!D107-'📊 Цены'!D106)/'📊 Цены'!D106</f>
        <v>-1.0156056477582279E-2</v>
      </c>
      <c r="E108" s="5">
        <f>('📊 Цены'!E107-'📊 Цены'!E106)/'📊 Цены'!E106</f>
        <v>3.3578597772436942E-3</v>
      </c>
      <c r="F108" s="5">
        <f>('📊 Цены'!F107-'📊 Цены'!F106)/'📊 Цены'!F106</f>
        <v>-3.8693931005760122E-4</v>
      </c>
      <c r="G108" s="5">
        <f>('📊 Цены'!G107-'📊 Цены'!G106)/'📊 Цены'!G106</f>
        <v>-2.658690594881964E-3</v>
      </c>
      <c r="H108" s="5">
        <f>('📊 Цены'!H107-'📊 Цены'!H106)/'📊 Цены'!H106</f>
        <v>2.7397260273972601E-2</v>
      </c>
      <c r="I108" s="5">
        <f>('📊 Цены'!I107-'📊 Цены'!I106)/'📊 Цены'!I106</f>
        <v>-5.3333409920530376E-3</v>
      </c>
    </row>
    <row r="109" spans="1:9" x14ac:dyDescent="0.35">
      <c r="A109" s="2">
        <f>'📊 Цены'!A108</f>
        <v>46037</v>
      </c>
      <c r="B109" s="3">
        <v>105</v>
      </c>
      <c r="C109" s="5">
        <f>('📊 Цены'!C108-'📊 Цены'!C107)/'📊 Цены'!C107</f>
        <v>-1.5955601803676632E-2</v>
      </c>
      <c r="D109" s="5">
        <f>('📊 Цены'!D108-'📊 Цены'!D107)/'📊 Цены'!D107</f>
        <v>1.9112862862862904E-2</v>
      </c>
      <c r="E109" s="5">
        <f>('📊 Цены'!E108-'📊 Цены'!E107)/'📊 Цены'!E107</f>
        <v>-7.6259098057863146E-3</v>
      </c>
      <c r="F109" s="5">
        <f>('📊 Цены'!F108-'📊 Цены'!F107)/'📊 Цены'!F107</f>
        <v>-9.1114816579323556E-3</v>
      </c>
      <c r="G109" s="5">
        <f>('📊 Цены'!G108-'📊 Цены'!G107)/'📊 Цены'!G107</f>
        <v>-6.9976674441852996E-3</v>
      </c>
      <c r="H109" s="5">
        <f>('📊 Цены'!H108-'📊 Цены'!H107)/'📊 Цены'!H107</f>
        <v>-1.5466666666666622E-2</v>
      </c>
      <c r="I109" s="5">
        <f>('📊 Цены'!I108-'📊 Цены'!I107)/'📊 Цены'!I107</f>
        <v>2.5799093350272703E-3</v>
      </c>
    </row>
    <row r="110" spans="1:9" x14ac:dyDescent="0.35">
      <c r="A110" s="2">
        <f>'📊 Цены'!A109</f>
        <v>46038</v>
      </c>
      <c r="B110" s="3">
        <v>106</v>
      </c>
      <c r="C110" s="5">
        <f>('📊 Цены'!C109-'📊 Цены'!C108)/'📊 Цены'!C108</f>
        <v>2.6436376454000454E-3</v>
      </c>
      <c r="D110" s="5">
        <f>('📊 Цены'!D109-'📊 Цены'!D108)/'📊 Цены'!D108</f>
        <v>2.7625157309915893E-4</v>
      </c>
      <c r="E110" s="5">
        <f>('📊 Цены'!E109-'📊 Цены'!E108)/'📊 Цены'!E108</f>
        <v>-5.8232746705979329E-3</v>
      </c>
      <c r="F110" s="5">
        <f>('📊 Цены'!F109-'📊 Цены'!F108)/'📊 Цены'!F108</f>
        <v>-8.3538674199169806E-3</v>
      </c>
      <c r="G110" s="5">
        <f>('📊 Цены'!G109-'📊 Цены'!G108)/'📊 Цены'!G108</f>
        <v>4.1946308724832215E-3</v>
      </c>
      <c r="H110" s="5">
        <f>('📊 Цены'!H109-'📊 Цены'!H108)/'📊 Цены'!H108</f>
        <v>-7.9089924160346742E-2</v>
      </c>
      <c r="I110" s="5">
        <f>('📊 Цены'!I109-'📊 Цены'!I108)/'📊 Цены'!I108</f>
        <v>-6.422376365655026E-4</v>
      </c>
    </row>
    <row r="111" spans="1:9" x14ac:dyDescent="0.35">
      <c r="A111" s="2">
        <f>'📊 Цены'!A110</f>
        <v>46042</v>
      </c>
      <c r="B111" s="3">
        <v>107</v>
      </c>
      <c r="C111" s="5">
        <f>('📊 Цены'!C110-'📊 Цены'!C109)/'📊 Цены'!C109</f>
        <v>-3.1815784847952229E-2</v>
      </c>
      <c r="D111" s="5">
        <f>('📊 Цены'!D110-'📊 Цены'!D109)/'📊 Цены'!D109</f>
        <v>-3.6946115134405363E-2</v>
      </c>
      <c r="E111" s="5">
        <f>('📊 Цены'!E110-'📊 Цены'!E109)/'📊 Цены'!E109</f>
        <v>-1.4365419192200041E-2</v>
      </c>
      <c r="F111" s="5">
        <f>('📊 Цены'!F110-'📊 Цены'!F109)/'📊 Цены'!F109</f>
        <v>-2.4242424242424242E-2</v>
      </c>
      <c r="G111" s="5">
        <f>('📊 Цены'!G110-'📊 Цены'!G109)/'📊 Цены'!G109</f>
        <v>-8.2706766917293988E-3</v>
      </c>
      <c r="H111" s="5">
        <f>('📊 Цены'!H110-'📊 Цены'!H109)/'📊 Цены'!H109</f>
        <v>4.3529411764705789E-2</v>
      </c>
      <c r="I111" s="5">
        <f>('📊 Цены'!I110-'📊 Цены'!I109)/'📊 Цены'!I109</f>
        <v>-2.0626771431165161E-2</v>
      </c>
    </row>
    <row r="112" spans="1:9" x14ac:dyDescent="0.35">
      <c r="A112" s="2">
        <f>'📊 Цены'!A111</f>
        <v>46043</v>
      </c>
      <c r="B112" s="3">
        <v>108</v>
      </c>
      <c r="C112" s="5">
        <f>('📊 Цены'!C111-'📊 Цены'!C110)/'📊 Цены'!C110</f>
        <v>1.4705882352941218E-2</v>
      </c>
      <c r="D112" s="5">
        <f>('📊 Цены'!D111-'📊 Цены'!D110)/'📊 Цены'!D110</f>
        <v>2.1412184552638377E-2</v>
      </c>
      <c r="E112" s="5">
        <f>('📊 Цены'!E111-'📊 Цены'!E110)/'📊 Цены'!E110</f>
        <v>-7.842178508293449E-3</v>
      </c>
      <c r="F112" s="5">
        <f>('📊 Цены'!F111-'📊 Цены'!F110)/'📊 Цены'!F110</f>
        <v>1.9813664596273279E-2</v>
      </c>
      <c r="G112" s="5">
        <f>('📊 Цены'!G111-'📊 Цены'!G110)/'📊 Цены'!G110</f>
        <v>5.4755285991071158E-3</v>
      </c>
      <c r="H112" s="5">
        <f>('📊 Цены'!H111-'📊 Цены'!H110)/'📊 Цены'!H110</f>
        <v>1.4656144306651724E-2</v>
      </c>
      <c r="I112" s="5">
        <f>('📊 Цены'!I111-'📊 Цены'!I110)/'📊 Цены'!I110</f>
        <v>1.1587703733782985E-2</v>
      </c>
    </row>
    <row r="113" spans="1:9" x14ac:dyDescent="0.35">
      <c r="A113" s="2">
        <f>'📊 Цены'!A112</f>
        <v>46044</v>
      </c>
      <c r="B113" s="3">
        <v>109</v>
      </c>
      <c r="C113" s="5">
        <f>('📊 Цены'!C112-'📊 Цены'!C111)/'📊 Цены'!C111</f>
        <v>2.2544283413848596E-2</v>
      </c>
      <c r="D113" s="5">
        <f>('📊 Цены'!D112-'📊 Цены'!D111)/'📊 Цены'!D111</f>
        <v>3.4626902919890619E-3</v>
      </c>
      <c r="E113" s="5">
        <f>('📊 Цены'!E112-'📊 Цены'!E111)/'📊 Цены'!E111</f>
        <v>1.0027105407813111E-2</v>
      </c>
      <c r="F113" s="5">
        <f>('📊 Цены'!F112-'📊 Цены'!F111)/'📊 Цены'!F111</f>
        <v>6.5777452950850392E-3</v>
      </c>
      <c r="G113" s="5">
        <f>('📊 Цены'!G112-'📊 Цены'!G111)/'📊 Цены'!G111</f>
        <v>-1.2818364611260064E-2</v>
      </c>
      <c r="H113" s="5">
        <f>('📊 Цены'!H112-'📊 Цены'!H111)/'📊 Цены'!H111</f>
        <v>0.13388888888888889</v>
      </c>
      <c r="I113" s="5">
        <f>('📊 Цены'!I112-'📊 Цены'!I111)/'📊 Цены'!I111</f>
        <v>5.4875051268104512E-3</v>
      </c>
    </row>
    <row r="114" spans="1:9" x14ac:dyDescent="0.35">
      <c r="A114" s="2">
        <f>'📊 Цены'!A113</f>
        <v>46045</v>
      </c>
      <c r="B114" s="3">
        <v>110</v>
      </c>
      <c r="C114" s="5">
        <f>('📊 Цены'!C113-'📊 Цены'!C112)/'📊 Цены'!C112</f>
        <v>-9.2738407699037816E-3</v>
      </c>
      <c r="D114" s="5">
        <f>('📊 Цены'!D113-'📊 Цены'!D112)/'📊 Цены'!D112</f>
        <v>-6.1242888674729601E-3</v>
      </c>
      <c r="E114" s="5">
        <f>('📊 Цены'!E113-'📊 Цены'!E112)/'📊 Цены'!E112</f>
        <v>-1.5238524190218827E-2</v>
      </c>
      <c r="F114" s="5">
        <f>('📊 Цены'!F113-'📊 Цены'!F112)/'📊 Цены'!F112</f>
        <v>-7.8961699037938329E-3</v>
      </c>
      <c r="G114" s="5">
        <f>('📊 Цены'!G113-'📊 Цены'!G112)/'📊 Цены'!G112</f>
        <v>-8.4868030213013936E-4</v>
      </c>
      <c r="H114" s="5">
        <f>('📊 Цены'!H113-'📊 Цены'!H112)/'📊 Цены'!H112</f>
        <v>-2.253797158255761E-2</v>
      </c>
      <c r="I114" s="5">
        <f>('📊 Цены'!I113-'📊 Цены'!I112)/'📊 Цены'!I112</f>
        <v>3.2690374420495257E-4</v>
      </c>
    </row>
    <row r="115" spans="1:9" x14ac:dyDescent="0.35">
      <c r="A115" s="2">
        <f>'📊 Цены'!A114</f>
        <v>46048</v>
      </c>
      <c r="B115" s="3">
        <v>111</v>
      </c>
      <c r="C115" s="5">
        <f>('📊 Цены'!C114-'📊 Цены'!C113)/'📊 Цены'!C113</f>
        <v>-3.5323207347220102E-4</v>
      </c>
      <c r="D115" s="5">
        <f>('📊 Цены'!D114-'📊 Цены'!D113)/'📊 Цены'!D113</f>
        <v>-9.383797309978105E-3</v>
      </c>
      <c r="E115" s="5">
        <f>('📊 Цены'!E114-'📊 Цены'!E113)/'📊 Цены'!E113</f>
        <v>4.9929488889735958E-3</v>
      </c>
      <c r="F115" s="5">
        <f>('📊 Цены'!F114-'📊 Цены'!F113)/'📊 Цены'!F113</f>
        <v>1.6253468728082164E-2</v>
      </c>
      <c r="G115" s="5">
        <f>('📊 Цены'!G114-'📊 Цены'!G113)/'📊 Цены'!G113</f>
        <v>-7.6446105495628477E-4</v>
      </c>
      <c r="H115" s="5">
        <f>('📊 Цены'!H114-'📊 Цены'!H113)/'📊 Цены'!H113</f>
        <v>0</v>
      </c>
      <c r="I115" s="5">
        <f>('📊 Цены'!I114-'📊 Цены'!I113)/'📊 Цены'!I113</f>
        <v>5.0060659869483517E-3</v>
      </c>
    </row>
    <row r="116" spans="1:9" x14ac:dyDescent="0.35">
      <c r="A116" s="2">
        <f>'📊 Цены'!A115</f>
        <v>46049</v>
      </c>
      <c r="B116" s="3">
        <v>112</v>
      </c>
      <c r="C116" s="5">
        <f>('📊 Цены'!C115-'📊 Цены'!C114)/'📊 Цены'!C114</f>
        <v>-1.9257950530035397E-2</v>
      </c>
      <c r="D116" s="5">
        <f>('📊 Цены'!D115-'📊 Цены'!D114)/'📊 Цены'!D114</f>
        <v>-8.6832964951057794E-3</v>
      </c>
      <c r="E116" s="5">
        <f>('📊 Цены'!E115-'📊 Цены'!E114)/'📊 Цены'!E114</f>
        <v>-1.3178853155339891E-2</v>
      </c>
      <c r="F116" s="5">
        <f>('📊 Цены'!F115-'📊 Цены'!F114)/'📊 Цены'!F114</f>
        <v>3.8708515873492784E-3</v>
      </c>
      <c r="G116" s="5">
        <f>('📊 Цены'!G115-'📊 Цены'!G114)/'📊 Цены'!G114</f>
        <v>-5.950357021421309E-3</v>
      </c>
      <c r="H116" s="5">
        <f>('📊 Цены'!H115-'📊 Цены'!H114)/'📊 Цены'!H114</f>
        <v>-3.5087719298245758E-3</v>
      </c>
      <c r="I116" s="5">
        <f>('📊 Цены'!I115-'📊 Цены'!I114)/'📊 Цены'!I114</f>
        <v>4.0818793047137725E-3</v>
      </c>
    </row>
    <row r="117" spans="1:9" x14ac:dyDescent="0.35">
      <c r="A117" s="2">
        <f>'📊 Цены'!A116</f>
        <v>46050</v>
      </c>
      <c r="B117" s="3">
        <v>113</v>
      </c>
      <c r="C117" s="5">
        <f>('📊 Цены'!C116-'📊 Цены'!C115)/'📊 Цены'!C115</f>
        <v>-2.5761124121779857E-2</v>
      </c>
      <c r="D117" s="5">
        <f>('📊 Цены'!D116-'📊 Цены'!D115)/'📊 Цены'!D115</f>
        <v>-5.9882146838668437E-3</v>
      </c>
      <c r="E117" s="5">
        <f>('📊 Цены'!E116-'📊 Цены'!E115)/'📊 Цены'!E115</f>
        <v>1.8446993716493465E-3</v>
      </c>
      <c r="F117" s="5">
        <f>('📊 Цены'!F116-'📊 Цены'!F115)/'📊 Цены'!F115</f>
        <v>4.3640711403377056E-3</v>
      </c>
      <c r="G117" s="5">
        <f>('📊 Цены'!G116-'📊 Цены'!G115)/'📊 Цены'!G115</f>
        <v>-3.1640157345647732E-3</v>
      </c>
      <c r="H117" s="5">
        <f>('📊 Цены'!H116-'📊 Цены'!H115)/'📊 Цены'!H115</f>
        <v>0</v>
      </c>
      <c r="I117" s="5">
        <f>('📊 Цены'!I116-'📊 Цены'!I115)/'📊 Цены'!I115</f>
        <v>-8.1678273579316549E-5</v>
      </c>
    </row>
    <row r="118" spans="1:9" x14ac:dyDescent="0.35">
      <c r="A118" s="2">
        <f>'📊 Цены'!A117</f>
        <v>46051</v>
      </c>
      <c r="B118" s="3">
        <v>114</v>
      </c>
      <c r="C118" s="5">
        <f>('📊 Цены'!C117-'📊 Цены'!C116)/'📊 Цены'!C116</f>
        <v>-1.7936390532544359E-2</v>
      </c>
      <c r="D118" s="5">
        <f>('📊 Цены'!D117-'📊 Цены'!D116)/'📊 Цены'!D116</f>
        <v>2.4673951357067288E-2</v>
      </c>
      <c r="E118" s="5">
        <f>('📊 Цены'!E117-'📊 Цены'!E116)/'📊 Цены'!E116</f>
        <v>4.288700922569387E-2</v>
      </c>
      <c r="F118" s="5">
        <f>('📊 Цены'!F117-'📊 Цены'!F116)/'📊 Цены'!F116</f>
        <v>6.6664682598732454E-3</v>
      </c>
      <c r="G118" s="5">
        <f>('📊 Цены'!G117-'📊 Цены'!G116)/'📊 Цены'!G116</f>
        <v>7.2059706614051935E-3</v>
      </c>
      <c r="H118" s="5">
        <f>('📊 Цены'!H117-'📊 Цены'!H116)/'📊 Цены'!H116</f>
        <v>-1.2072434607645796E-2</v>
      </c>
      <c r="I118" s="5">
        <f>('📊 Цены'!I117-'📊 Цены'!I116)/'📊 Цены'!I116</f>
        <v>-1.292628435245983E-3</v>
      </c>
    </row>
    <row r="119" spans="1:9" x14ac:dyDescent="0.35">
      <c r="A119" s="2">
        <f>'📊 Цены'!A118</f>
        <v>46052</v>
      </c>
      <c r="B119" s="3">
        <v>115</v>
      </c>
      <c r="C119" s="5">
        <f>('📊 Цены'!C118-'📊 Цены'!C117)/'📊 Цены'!C117</f>
        <v>-7.908115232536277E-3</v>
      </c>
      <c r="D119" s="5">
        <f>('📊 Цены'!D118-'📊 Цены'!D117)/'📊 Цены'!D117</f>
        <v>-1.3978797260530916E-2</v>
      </c>
      <c r="E119" s="5">
        <f>('📊 Цены'!E118-'📊 Цены'!E117)/'📊 Цены'!E117</f>
        <v>-9.0853916465894E-3</v>
      </c>
      <c r="F119" s="5">
        <f>('📊 Цены'!F118-'📊 Цены'!F117)/'📊 Цены'!F117</f>
        <v>-7.3909830007390983E-4</v>
      </c>
      <c r="G119" s="5">
        <f>('📊 Цены'!G118-'📊 Цены'!G117)/'📊 Цены'!G117</f>
        <v>1.4734690401158369E-2</v>
      </c>
      <c r="H119" s="5">
        <f>('📊 Цены'!H118-'📊 Цены'!H117)/'📊 Цены'!H117</f>
        <v>-9.1649694501018189E-3</v>
      </c>
      <c r="I119" s="5">
        <f>('📊 Цены'!I118-'📊 Цены'!I117)/'📊 Цены'!I117</f>
        <v>-4.3019022788029389E-3</v>
      </c>
    </row>
    <row r="120" spans="1:9" x14ac:dyDescent="0.35">
      <c r="A120" s="2">
        <f>'📊 Цены'!A119</f>
        <v>46055</v>
      </c>
      <c r="B120" s="3">
        <v>116</v>
      </c>
      <c r="C120" s="5">
        <f>('📊 Цены'!C119-'📊 Цены'!C118)/'📊 Цены'!C118</f>
        <v>-6.832416018219766E-3</v>
      </c>
      <c r="D120" s="5">
        <f>('📊 Цены'!D119-'📊 Цены'!D118)/'📊 Цены'!D118</f>
        <v>1.2654614652711732E-2</v>
      </c>
      <c r="E120" s="5">
        <f>('📊 Цены'!E119-'📊 Цены'!E118)/'📊 Цены'!E118</f>
        <v>3.077265725050584E-2</v>
      </c>
      <c r="F120" s="5">
        <f>('📊 Цены'!F119-'📊 Цены'!F118)/'📊 Цены'!F118</f>
        <v>1.6834319526627211E-2</v>
      </c>
      <c r="G120" s="5">
        <f>('📊 Цены'!G119-'📊 Цены'!G118)/'📊 Цены'!G118</f>
        <v>4.1295954339432617E-2</v>
      </c>
      <c r="H120" s="5">
        <f>('📊 Цены'!H119-'📊 Цены'!H118)/'📊 Цены'!H118</f>
        <v>0</v>
      </c>
      <c r="I120" s="5">
        <f>('📊 Цены'!I119-'📊 Цены'!I118)/'📊 Цены'!I118</f>
        <v>5.3912434446889345E-3</v>
      </c>
    </row>
    <row r="121" spans="1:9" x14ac:dyDescent="0.35">
      <c r="A121" s="2">
        <f>'📊 Цены'!A120</f>
        <v>46056</v>
      </c>
      <c r="B121" s="3">
        <v>117</v>
      </c>
      <c r="C121" s="5">
        <f>('📊 Цены'!C120-'📊 Цены'!C119)/'📊 Цены'!C119</f>
        <v>-0.20313395757691566</v>
      </c>
      <c r="D121" s="5">
        <f>('📊 Цены'!D120-'📊 Цены'!D119)/'📊 Цены'!D119</f>
        <v>-2.7247956403269897E-3</v>
      </c>
      <c r="E121" s="5">
        <f>('📊 Цены'!E120-'📊 Цены'!E119)/'📊 Цены'!E119</f>
        <v>-8.3727965140356474E-3</v>
      </c>
      <c r="F121" s="5">
        <f>('📊 Цены'!F120-'📊 Цены'!F119)/'📊 Цены'!F119</f>
        <v>-1.1580203089993944E-2</v>
      </c>
      <c r="G121" s="5">
        <f>('📊 Цены'!G120-'📊 Цены'!G119)/'📊 Цены'!G119</f>
        <v>2.9421247783330579E-2</v>
      </c>
      <c r="H121" s="5">
        <f>('📊 Цены'!H120-'📊 Цены'!H119)/'📊 Цены'!H119</f>
        <v>0</v>
      </c>
      <c r="I121" s="5">
        <f>('📊 Цены'!I120-'📊 Цены'!I119)/'📊 Цены'!I119</f>
        <v>-8.4039997477222197E-3</v>
      </c>
    </row>
    <row r="122" spans="1:9" x14ac:dyDescent="0.35">
      <c r="A122" s="2">
        <f>'📊 Цены'!A121</f>
        <v>46057</v>
      </c>
      <c r="B122" s="3">
        <v>118</v>
      </c>
      <c r="C122" s="5">
        <f>('📊 Цены'!C121-'📊 Цены'!C120)/'📊 Цены'!C120</f>
        <v>-1.6067146282973659E-2</v>
      </c>
      <c r="D122" s="5">
        <f>('📊 Цены'!D121-'📊 Цены'!D120)/'📊 Цены'!D120</f>
        <v>1.9282708372589618E-2</v>
      </c>
      <c r="E122" s="5">
        <f>('📊 Цены'!E121-'📊 Цены'!E120)/'📊 Цены'!E120</f>
        <v>5.084253341080684E-3</v>
      </c>
      <c r="F122" s="5">
        <f>('📊 Цены'!F121-'📊 Цены'!F120)/'📊 Цены'!F120</f>
        <v>-1.9634394041976862E-2</v>
      </c>
      <c r="G122" s="5">
        <f>('📊 Цены'!G121-'📊 Цены'!G120)/'📊 Цены'!G120</f>
        <v>2.2707697126302267E-3</v>
      </c>
      <c r="H122" s="5">
        <f>('📊 Цены'!H121-'📊 Цены'!H120)/'📊 Цены'!H120</f>
        <v>0</v>
      </c>
      <c r="I122" s="5">
        <f>('📊 Цены'!I121-'📊 Цены'!I120)/'📊 Цены'!I120</f>
        <v>-5.0724145358141005E-3</v>
      </c>
    </row>
    <row r="123" spans="1:9" x14ac:dyDescent="0.35">
      <c r="A123" s="2">
        <f>'📊 Цены'!A122</f>
        <v>46058</v>
      </c>
      <c r="B123" s="3">
        <v>119</v>
      </c>
      <c r="C123" s="5">
        <f>('📊 Цены'!C122-'📊 Цены'!C121)/'📊 Цены'!C121</f>
        <v>-2.7540823787472642E-2</v>
      </c>
      <c r="D123" s="5">
        <f>('📊 Цены'!D122-'📊 Цены'!D121)/'📊 Цены'!D121</f>
        <v>5.8232684249444984E-3</v>
      </c>
      <c r="E123" s="5">
        <f>('📊 Цены'!E122-'📊 Цены'!E121)/'📊 Цены'!E121</f>
        <v>-2.9447897094955836E-3</v>
      </c>
      <c r="F123" s="5">
        <f>('📊 Цены'!F122-'📊 Цены'!F121)/'📊 Цены'!F121</f>
        <v>-5.3747297621907887E-3</v>
      </c>
      <c r="G123" s="5">
        <f>('📊 Цены'!G122-'📊 Цены'!G121)/'📊 Цены'!G121</f>
        <v>-8.2812500000000178E-3</v>
      </c>
      <c r="H123" s="5">
        <f>('📊 Цены'!H122-'📊 Цены'!H121)/'📊 Цены'!H121</f>
        <v>0</v>
      </c>
      <c r="I123" s="5">
        <f>('📊 Цены'!I122-'📊 Цены'!I121)/'📊 Цены'!I121</f>
        <v>-1.2250970546528206E-2</v>
      </c>
    </row>
    <row r="124" spans="1:9" x14ac:dyDescent="0.35">
      <c r="A124" s="2">
        <f>'📊 Цены'!A123</f>
        <v>46059</v>
      </c>
      <c r="B124" s="3">
        <v>120</v>
      </c>
      <c r="C124" s="5">
        <f>('📊 Цены'!C123-'📊 Цены'!C122)/'📊 Цены'!C122</f>
        <v>1.3032581453634165E-2</v>
      </c>
      <c r="D124" s="5">
        <f>('📊 Цены'!D123-'📊 Цены'!D122)/'📊 Цены'!D122</f>
        <v>2.0799509879001442E-2</v>
      </c>
      <c r="E124" s="5">
        <f>('📊 Цены'!E123-'📊 Цены'!E122)/'📊 Цены'!E122</f>
        <v>-5.7076591349725075E-3</v>
      </c>
      <c r="F124" s="5">
        <f>('📊 Цены'!F123-'📊 Цены'!F122)/'📊 Цены'!F122</f>
        <v>-2.5328301886792411E-2</v>
      </c>
      <c r="G124" s="5">
        <f>('📊 Цены'!G123-'📊 Цены'!G122)/'📊 Цены'!G122</f>
        <v>3.3401607058452881E-2</v>
      </c>
      <c r="H124" s="5">
        <f>('📊 Цены'!H123-'📊 Цены'!H122)/'📊 Цены'!H122</f>
        <v>0</v>
      </c>
      <c r="I124" s="5">
        <f>('📊 Цены'!I123-'📊 Цены'!I122)/'📊 Цены'!I122</f>
        <v>1.9695810779006905E-2</v>
      </c>
    </row>
    <row r="125" spans="1:9" x14ac:dyDescent="0.35">
      <c r="A125" s="2">
        <f>'📊 Цены'!A124</f>
        <v>46062</v>
      </c>
      <c r="B125" s="3">
        <v>121</v>
      </c>
      <c r="C125" s="5">
        <f>('📊 Цены'!C124-'📊 Цены'!C123)/'📊 Цены'!C123</f>
        <v>1.8060366155368553E-2</v>
      </c>
      <c r="D125" s="5">
        <f>('📊 Цены'!D124-'📊 Цены'!D123)/'📊 Цены'!D123</f>
        <v>-6.0917056775898135E-3</v>
      </c>
      <c r="E125" s="5">
        <f>('📊 Цены'!E124-'📊 Цены'!E123)/'📊 Цены'!E123</f>
        <v>-2.4437802966796603E-2</v>
      </c>
      <c r="F125" s="5">
        <f>('📊 Цены'!F124-'📊 Цены'!F123)/'📊 Цены'!F123</f>
        <v>4.5220838753638713E-3</v>
      </c>
      <c r="G125" s="5">
        <f>('📊 Цены'!G124-'📊 Цены'!G123)/'📊 Цены'!G123</f>
        <v>-1.6465924683640772E-2</v>
      </c>
      <c r="H125" s="5">
        <f>('📊 Цены'!H124-'📊 Цены'!H123)/'📊 Цены'!H123</f>
        <v>-5.4470709146968256E-2</v>
      </c>
      <c r="I125" s="5">
        <f>('📊 Цены'!I124-'📊 Цены'!I123)/'📊 Цены'!I123</f>
        <v>4.691083767292172E-3</v>
      </c>
    </row>
    <row r="126" spans="1:9" x14ac:dyDescent="0.35">
      <c r="A126" s="2">
        <f>'📊 Цены'!A125</f>
        <v>46063</v>
      </c>
      <c r="B126" s="3">
        <v>122</v>
      </c>
      <c r="C126" s="5">
        <f>('📊 Цены'!C125-'📊 Цены'!C124)/'📊 Цены'!C124</f>
        <v>8.2624544349940085E-3</v>
      </c>
      <c r="D126" s="5">
        <f>('📊 Цены'!D125-'📊 Цены'!D124)/'📊 Цены'!D124</f>
        <v>8.4961202862232563E-2</v>
      </c>
      <c r="E126" s="5">
        <f>('📊 Цены'!E125-'📊 Цены'!E124)/'📊 Цены'!E124</f>
        <v>9.4521136495244896E-3</v>
      </c>
      <c r="F126" s="5">
        <f>('📊 Цены'!F125-'📊 Цены'!F124)/'📊 Цены'!F124</f>
        <v>-1.7698569314257551E-2</v>
      </c>
      <c r="G126" s="5">
        <f>('📊 Цены'!G125-'📊 Цены'!G124)/'📊 Цены'!G124</f>
        <v>-1.7981708262284974E-2</v>
      </c>
      <c r="H126" s="5">
        <f>('📊 Цены'!H125-'📊 Цены'!H124)/'📊 Цены'!H124</f>
        <v>-5.4347826086955367E-3</v>
      </c>
      <c r="I126" s="5">
        <f>('📊 Цены'!I125-'📊 Цены'!I124)/'📊 Цены'!I124</f>
        <v>-3.3037465433420118E-3</v>
      </c>
    </row>
    <row r="127" spans="1:9" x14ac:dyDescent="0.35">
      <c r="A127" s="2">
        <f>'📊 Цены'!A126</f>
        <v>46064</v>
      </c>
      <c r="B127" s="3">
        <v>123</v>
      </c>
      <c r="C127" s="5">
        <f>('📊 Цены'!C126-'📊 Цены'!C125)/'📊 Цены'!C125</f>
        <v>-2.4825259098577995E-2</v>
      </c>
      <c r="D127" s="5">
        <f>('📊 Цены'!D126-'📊 Цены'!D125)/'📊 Цены'!D125</f>
        <v>-1.6696813691387858E-3</v>
      </c>
      <c r="E127" s="5">
        <f>('📊 Цены'!E126-'📊 Цены'!E125)/'📊 Цены'!E125</f>
        <v>-5.4220100297932049E-3</v>
      </c>
      <c r="F127" s="5">
        <f>('📊 Цены'!F126-'📊 Цены'!F125)/'📊 Цены'!F125</f>
        <v>-2.3918638960386731E-2</v>
      </c>
      <c r="G127" s="5">
        <f>('📊 Цены'!G126-'📊 Цены'!G125)/'📊 Цены'!G125</f>
        <v>1.6337805840568331E-2</v>
      </c>
      <c r="H127" s="5">
        <f>('📊 Цены'!H126-'📊 Цены'!H125)/'📊 Цены'!H125</f>
        <v>0</v>
      </c>
      <c r="I127" s="5">
        <f>('📊 Цены'!I126-'📊 Цены'!I125)/'📊 Цены'!I125</f>
        <v>-4.8978580514324868E-5</v>
      </c>
    </row>
    <row r="128" spans="1:9" x14ac:dyDescent="0.35">
      <c r="A128" s="2">
        <f>'📊 Цены'!A127</f>
        <v>46065</v>
      </c>
      <c r="B128" s="3">
        <v>124</v>
      </c>
      <c r="C128" s="5">
        <f>('📊 Цены'!C127-'📊 Цены'!C126)/'📊 Цены'!C126</f>
        <v>-3.4107760751359427E-2</v>
      </c>
      <c r="D128" s="5">
        <f>('📊 Цены'!D127-'📊 Цены'!D126)/'📊 Цены'!D126</f>
        <v>-1.0229965156794469E-2</v>
      </c>
      <c r="E128" s="5">
        <f>('📊 Цены'!E127-'📊 Цены'!E126)/'📊 Цены'!E126</f>
        <v>-1.8606035798012874E-2</v>
      </c>
      <c r="F128" s="5">
        <f>('📊 Цены'!F127-'📊 Цены'!F126)/'📊 Цены'!F126</f>
        <v>-6.3030614870079101E-3</v>
      </c>
      <c r="G128" s="5">
        <f>('📊 Цены'!G127-'📊 Цены'!G126)/'📊 Цены'!G126</f>
        <v>3.7819367865185805E-2</v>
      </c>
      <c r="H128" s="5">
        <f>('📊 Цены'!H127-'📊 Цены'!H126)/'📊 Цены'!H126</f>
        <v>-1.9672131147540951E-2</v>
      </c>
      <c r="I128" s="5">
        <f>('📊 Цены'!I127-'📊 Цены'!I126)/'📊 Цены'!I126</f>
        <v>-1.5660947897203334E-2</v>
      </c>
    </row>
    <row r="129" spans="1:12" x14ac:dyDescent="0.35">
      <c r="A129" s="2">
        <f>'📊 Цены'!A128</f>
        <v>46066</v>
      </c>
      <c r="B129" s="3">
        <v>125</v>
      </c>
      <c r="C129" s="5">
        <f>('📊 Цены'!C128-'📊 Цены'!C127)/'📊 Цены'!C127</f>
        <v>3.0962128966223156E-2</v>
      </c>
      <c r="D129" s="5">
        <f>('📊 Цены'!D128-'📊 Цены'!D127)/'📊 Цены'!D127</f>
        <v>-3.3513574405767653E-3</v>
      </c>
      <c r="E129" s="5">
        <f>('📊 Цены'!E128-'📊 Цены'!E127)/'📊 Цены'!E127</f>
        <v>-1.7252493080044028E-2</v>
      </c>
      <c r="F129" s="5">
        <f>('📊 Цены'!F128-'📊 Цены'!F127)/'📊 Цены'!F127</f>
        <v>-1.0614886731391498E-2</v>
      </c>
      <c r="G129" s="5">
        <f>('📊 Цены'!G128-'📊 Цены'!G127)/'📊 Цены'!G127</f>
        <v>1.8706973959892251E-3</v>
      </c>
      <c r="H129" s="5">
        <f>('📊 Цены'!H128-'📊 Цены'!H127)/'📊 Цены'!H127</f>
        <v>0</v>
      </c>
      <c r="I129" s="5">
        <f>('📊 Цены'!I128-'📊 Цены'!I127)/'📊 Цены'!I127</f>
        <v>4.9906626312059177E-4</v>
      </c>
    </row>
    <row r="130" spans="1:12" x14ac:dyDescent="0.35">
      <c r="A130" s="2">
        <f>'📊 Цены'!A129</f>
        <v>46070</v>
      </c>
      <c r="B130" s="3">
        <v>126</v>
      </c>
      <c r="C130" s="5">
        <f>('📊 Цены'!C129-'📊 Цены'!C128)/'📊 Цены'!C128</f>
        <v>1.2906428394142544E-2</v>
      </c>
      <c r="D130" s="5">
        <f>('📊 Цены'!D129-'📊 Цены'!D128)/'📊 Цены'!D128</f>
        <v>1.7095707705784315E-2</v>
      </c>
      <c r="E130" s="5">
        <f>('📊 Цены'!E129-'📊 Цены'!E128)/'📊 Цены'!E128</f>
        <v>6.8871054865343321E-3</v>
      </c>
      <c r="F130" s="5">
        <f>('📊 Цены'!F129-'📊 Цены'!F128)/'📊 Цены'!F128</f>
        <v>-1.2102577521915625E-2</v>
      </c>
      <c r="G130" s="5">
        <f>('📊 Цены'!G129-'📊 Цены'!G128)/'📊 Цены'!G128</f>
        <v>-3.7642841138247757E-2</v>
      </c>
      <c r="H130" s="5">
        <f>('📊 Цены'!H129-'📊 Цены'!H128)/'📊 Цены'!H128</f>
        <v>0</v>
      </c>
      <c r="I130" s="5">
        <f>('📊 Цены'!I129-'📊 Цены'!I128)/'📊 Цены'!I128</f>
        <v>1.0312792104351094E-3</v>
      </c>
    </row>
    <row r="132" spans="1:12" ht="15.5" x14ac:dyDescent="0.35">
      <c r="A132" s="33" t="s">
        <v>21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</row>
    <row r="134" spans="1:12" x14ac:dyDescent="0.35">
      <c r="A134" s="1" t="s">
        <v>22</v>
      </c>
      <c r="B134" s="1" t="s">
        <v>23</v>
      </c>
      <c r="C134" s="1" t="s">
        <v>24</v>
      </c>
      <c r="D134" s="1" t="s">
        <v>25</v>
      </c>
      <c r="E134" s="1" t="s">
        <v>26</v>
      </c>
      <c r="F134" s="1" t="s">
        <v>27</v>
      </c>
      <c r="G134" s="1" t="s">
        <v>28</v>
      </c>
      <c r="H134" s="1" t="s">
        <v>29</v>
      </c>
      <c r="I134" s="1"/>
      <c r="J134" s="1"/>
      <c r="K134" s="1"/>
      <c r="L134" s="1"/>
    </row>
    <row r="135" spans="1:12" x14ac:dyDescent="0.35">
      <c r="A135" s="6" t="s">
        <v>30</v>
      </c>
      <c r="B135" s="5">
        <f t="shared" ref="B135:H135" si="0">AVERAGE(C6:C130)</f>
        <v>-3.8551190161485644E-3</v>
      </c>
      <c r="C135" s="5">
        <f t="shared" si="0"/>
        <v>2.5982020075419774E-3</v>
      </c>
      <c r="D135" s="5">
        <f t="shared" si="0"/>
        <v>-7.9948555136372611E-4</v>
      </c>
      <c r="E135" s="5">
        <f t="shared" si="0"/>
        <v>3.3375604909974274E-3</v>
      </c>
      <c r="F135" s="5">
        <f t="shared" si="0"/>
        <v>2.1007138013444289E-3</v>
      </c>
      <c r="G135" s="5">
        <f>AVERAGE(H6:H130)</f>
        <v>4.7695360479598275E-3</v>
      </c>
      <c r="H135" s="5">
        <f t="shared" si="0"/>
        <v>5.009525058203648E-4</v>
      </c>
    </row>
    <row r="136" spans="1:12" x14ac:dyDescent="0.35">
      <c r="A136" s="6" t="s">
        <v>31</v>
      </c>
      <c r="B136" s="5">
        <f t="shared" ref="B136:H136" si="1">STDEV(C6:C130)</f>
        <v>2.6703269505255308E-2</v>
      </c>
      <c r="C136" s="5">
        <f t="shared" si="1"/>
        <v>1.7187071175334353E-2</v>
      </c>
      <c r="D136" s="5">
        <f t="shared" si="1"/>
        <v>1.2589237782580646E-2</v>
      </c>
      <c r="E136" s="5">
        <f t="shared" si="1"/>
        <v>1.821463777754544E-2</v>
      </c>
      <c r="F136" s="5">
        <f t="shared" si="1"/>
        <v>1.5015373843135119E-2</v>
      </c>
      <c r="G136" s="5">
        <f>STDEV(H6:H130)</f>
        <v>4.362101857414321E-2</v>
      </c>
      <c r="H136" s="5">
        <f t="shared" si="1"/>
        <v>7.281062051801796E-3</v>
      </c>
      <c r="J136" s="34" t="s">
        <v>32</v>
      </c>
      <c r="K136" s="32"/>
      <c r="L136" s="32"/>
    </row>
    <row r="137" spans="1:12" x14ac:dyDescent="0.35">
      <c r="A137" s="6" t="s">
        <v>33</v>
      </c>
      <c r="B137" s="7">
        <f t="shared" ref="B137:H137" si="2">B135*252</f>
        <v>-0.9714899920694382</v>
      </c>
      <c r="C137" s="7">
        <f t="shared" si="2"/>
        <v>0.65474690590057827</v>
      </c>
      <c r="D137" s="7">
        <f t="shared" si="2"/>
        <v>-0.20147035894365897</v>
      </c>
      <c r="E137" s="7">
        <f t="shared" si="2"/>
        <v>0.84106524373135172</v>
      </c>
      <c r="F137" s="7">
        <f t="shared" si="2"/>
        <v>0.52937987793879604</v>
      </c>
      <c r="G137" s="7">
        <f>G135*252</f>
        <v>1.2019230840858766</v>
      </c>
      <c r="H137" s="7">
        <f t="shared" si="2"/>
        <v>0.12624003146673193</v>
      </c>
      <c r="J137" s="34" t="s">
        <v>34</v>
      </c>
      <c r="K137" s="32"/>
      <c r="L137" s="32"/>
    </row>
    <row r="138" spans="1:12" x14ac:dyDescent="0.35">
      <c r="A138" s="6" t="s">
        <v>35</v>
      </c>
      <c r="B138" s="7">
        <f t="shared" ref="B138:H138" si="3">B136*SQRT(252)</f>
        <v>0.42390126181944199</v>
      </c>
      <c r="C138" s="7">
        <f t="shared" si="3"/>
        <v>0.27283629657300779</v>
      </c>
      <c r="D138" s="7">
        <f t="shared" si="3"/>
        <v>0.19984795421139975</v>
      </c>
      <c r="E138" s="7">
        <f t="shared" si="3"/>
        <v>0.28914841068304481</v>
      </c>
      <c r="F138" s="7">
        <f>F136*SQRT(252)</f>
        <v>0.23836167018959822</v>
      </c>
      <c r="G138" s="7">
        <f>G136*SQRT(252)</f>
        <v>0.69246220249507351</v>
      </c>
      <c r="H138" s="7">
        <f t="shared" si="3"/>
        <v>0.11558327681698344</v>
      </c>
    </row>
    <row r="140" spans="1:12" ht="15.5" x14ac:dyDescent="0.35">
      <c r="A140" s="33" t="s">
        <v>36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</row>
    <row r="141" spans="1:12" x14ac:dyDescent="0.35">
      <c r="A141" s="31" t="s">
        <v>37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</row>
    <row r="143" spans="1:12" x14ac:dyDescent="0.35">
      <c r="A143" s="1" t="s">
        <v>22</v>
      </c>
      <c r="B143" s="1" t="s">
        <v>23</v>
      </c>
      <c r="C143" s="1" t="s">
        <v>24</v>
      </c>
      <c r="D143" s="1" t="s">
        <v>25</v>
      </c>
      <c r="E143" s="1" t="s">
        <v>26</v>
      </c>
      <c r="F143" s="1" t="s">
        <v>27</v>
      </c>
      <c r="G143" s="1" t="s">
        <v>28</v>
      </c>
      <c r="H143" s="1" t="s">
        <v>38</v>
      </c>
      <c r="I143" s="1"/>
      <c r="J143" s="1"/>
      <c r="K143" s="1"/>
      <c r="L143" s="1"/>
    </row>
    <row r="144" spans="1:12" ht="15.5" x14ac:dyDescent="0.35">
      <c r="A144" s="8" t="s">
        <v>39</v>
      </c>
      <c r="B144" s="9">
        <f>_xlfn.COVARIANCE.S(C6:C130,I6:I130)/_xlfn.VAR.S(I6:I130)</f>
        <v>1.7264511184021374</v>
      </c>
      <c r="C144" s="9">
        <f>_xlfn.COVARIANCE.S(D6:D130,I6:I130)/_xlfn.VAR.S(I6:I130)</f>
        <v>0.74492777360721696</v>
      </c>
      <c r="D144" s="9">
        <f>_xlfn.COVARIANCE.S(E6:E130,I6:I130)/_xlfn.VAR.S(I6:I130)</f>
        <v>0.44310213630047274</v>
      </c>
      <c r="E144" s="9">
        <f>_xlfn.COVARIANCE.S(F6:F130,I6:I130)/_xlfn.VAR.S(I6:I130)</f>
        <v>1.2134567536969911</v>
      </c>
      <c r="F144" s="9">
        <f>_xlfn.COVARIANCE.S(G6:G130,I6:I130)/_xlfn.VAR.S(I6:I130)</f>
        <v>-0.14409511665782149</v>
      </c>
      <c r="G144" s="9">
        <f>_xlfn.COVARIANCE.S(H6:H130,I6:I130)/_xlfn.VAR.S(I6:I130)</f>
        <v>0.45176472661186245</v>
      </c>
      <c r="I144" s="34" t="s">
        <v>40</v>
      </c>
      <c r="J144" s="32"/>
      <c r="K144" s="32"/>
      <c r="L144" s="32"/>
    </row>
    <row r="145" spans="1:12" x14ac:dyDescent="0.35">
      <c r="A145" s="6" t="s">
        <v>41</v>
      </c>
      <c r="B145" s="10" t="str">
        <f t="shared" ref="B145:G145" si="4">IF(B144&gt;1.2,"⚡ Агрессивная",IF(B144&lt;0.8,"🛡️ Защитная","➡️ Нейтральная"))</f>
        <v>⚡ Агрессивная</v>
      </c>
      <c r="C145" s="10" t="str">
        <f t="shared" si="4"/>
        <v>🛡️ Защитная</v>
      </c>
      <c r="D145" s="10" t="str">
        <f t="shared" si="4"/>
        <v>🛡️ Защитная</v>
      </c>
      <c r="E145" s="10" t="str">
        <f t="shared" si="4"/>
        <v>⚡ Агрессивная</v>
      </c>
      <c r="F145" s="10" t="str">
        <f t="shared" si="4"/>
        <v>🛡️ Защитная</v>
      </c>
      <c r="G145" s="10" t="str">
        <f t="shared" si="4"/>
        <v>🛡️ Защитная</v>
      </c>
    </row>
    <row r="147" spans="1:12" ht="15.5" x14ac:dyDescent="0.35">
      <c r="A147" s="33" t="s">
        <v>42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</row>
    <row r="148" spans="1:12" x14ac:dyDescent="0.35">
      <c r="A148" s="31" t="s">
        <v>43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</row>
    <row r="150" spans="1:12" x14ac:dyDescent="0.35">
      <c r="A150" s="1" t="s">
        <v>22</v>
      </c>
      <c r="B150" s="1" t="s">
        <v>23</v>
      </c>
      <c r="C150" s="1" t="s">
        <v>24</v>
      </c>
      <c r="D150" s="1" t="s">
        <v>25</v>
      </c>
      <c r="E150" s="1" t="s">
        <v>26</v>
      </c>
      <c r="F150" s="1" t="s">
        <v>27</v>
      </c>
      <c r="G150" s="1" t="s">
        <v>28</v>
      </c>
      <c r="H150" s="1" t="s">
        <v>38</v>
      </c>
      <c r="I150" s="1"/>
      <c r="J150" s="1"/>
      <c r="K150" s="1"/>
      <c r="L150" s="1"/>
    </row>
    <row r="151" spans="1:12" x14ac:dyDescent="0.35">
      <c r="A151" s="6" t="s">
        <v>44</v>
      </c>
      <c r="B151" s="11">
        <v>5.2499999999999998E-2</v>
      </c>
      <c r="C151" s="11">
        <v>5.2499999999999998E-2</v>
      </c>
      <c r="D151" s="11">
        <v>5.2499999999999998E-2</v>
      </c>
      <c r="E151" s="11">
        <v>5.2499999999999998E-2</v>
      </c>
      <c r="F151" s="11">
        <v>5.2499999999999998E-2</v>
      </c>
      <c r="G151" s="11">
        <v>5.2499999999999998E-2</v>
      </c>
    </row>
    <row r="152" spans="1:12" ht="15.5" x14ac:dyDescent="0.35">
      <c r="A152" s="8" t="s">
        <v>45</v>
      </c>
      <c r="B152" s="9">
        <f>(B137-B151)/B138</f>
        <v>-2.4156332719424651</v>
      </c>
      <c r="C152" s="9">
        <f t="shared" ref="C152:G152" si="5">(C137-C151)/C138</f>
        <v>2.2073562552533184</v>
      </c>
      <c r="D152" s="9">
        <f t="shared" si="5"/>
        <v>-1.270817907272688</v>
      </c>
      <c r="E152" s="9">
        <f t="shared" si="5"/>
        <v>2.7271989559567444</v>
      </c>
      <c r="F152" s="9">
        <f t="shared" si="5"/>
        <v>2.0006567228677121</v>
      </c>
      <c r="G152" s="9">
        <f t="shared" si="5"/>
        <v>1.6599073277130301</v>
      </c>
    </row>
    <row r="153" spans="1:12" x14ac:dyDescent="0.35">
      <c r="A153" s="6" t="s">
        <v>46</v>
      </c>
      <c r="B153" s="10" t="str">
        <f t="shared" ref="B153:G153" si="6">IF(B152&gt;1,"⭐ Отличная",IF(B152&gt;0,"👍 ОК","👎 Хуже депозита"))</f>
        <v>👎 Хуже депозита</v>
      </c>
      <c r="C153" s="10" t="str">
        <f t="shared" si="6"/>
        <v>⭐ Отличная</v>
      </c>
      <c r="D153" s="10" t="str">
        <f t="shared" si="6"/>
        <v>👎 Хуже депозита</v>
      </c>
      <c r="E153" s="10" t="str">
        <f t="shared" si="6"/>
        <v>⭐ Отличная</v>
      </c>
      <c r="F153" s="10" t="str">
        <f t="shared" si="6"/>
        <v>⭐ Отличная</v>
      </c>
      <c r="G153" s="10" t="str">
        <f t="shared" si="6"/>
        <v>⭐ Отличная</v>
      </c>
    </row>
    <row r="155" spans="1:12" x14ac:dyDescent="0.35">
      <c r="A155" s="46" t="s">
        <v>47</v>
      </c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8"/>
    </row>
  </sheetData>
  <mergeCells count="12">
    <mergeCell ref="A1:L1"/>
    <mergeCell ref="A132:L132"/>
    <mergeCell ref="A155:L155"/>
    <mergeCell ref="J136:L136"/>
    <mergeCell ref="A141:L141"/>
    <mergeCell ref="K6:L6"/>
    <mergeCell ref="A3:L3"/>
    <mergeCell ref="A140:L140"/>
    <mergeCell ref="A148:L148"/>
    <mergeCell ref="A147:L147"/>
    <mergeCell ref="J137:L137"/>
    <mergeCell ref="I144:L1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"/>
  <sheetViews>
    <sheetView topLeftCell="A5" workbookViewId="0">
      <selection activeCell="D38" sqref="D38"/>
    </sheetView>
  </sheetViews>
  <sheetFormatPr defaultRowHeight="14.5" x14ac:dyDescent="0.35"/>
  <cols>
    <col min="1" max="12" width="14" customWidth="1"/>
  </cols>
  <sheetData>
    <row r="1" spans="1:12" ht="18.5" x14ac:dyDescent="0.45">
      <c r="A1" s="28" t="s">
        <v>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3" spans="1:12" ht="15.5" x14ac:dyDescent="0.35">
      <c r="A3" s="33" t="s">
        <v>49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5" spans="1:12" x14ac:dyDescent="0.35">
      <c r="A5" s="12"/>
      <c r="B5" s="13" t="s">
        <v>23</v>
      </c>
      <c r="C5" s="13" t="s">
        <v>24</v>
      </c>
      <c r="D5" s="13" t="s">
        <v>25</v>
      </c>
      <c r="E5" s="13" t="s">
        <v>26</v>
      </c>
      <c r="F5" s="13" t="s">
        <v>27</v>
      </c>
      <c r="G5" s="13" t="s">
        <v>28</v>
      </c>
    </row>
    <row r="6" spans="1:12" x14ac:dyDescent="0.35">
      <c r="A6" s="14" t="s">
        <v>23</v>
      </c>
      <c r="B6" s="15">
        <v>1</v>
      </c>
      <c r="C6" s="16">
        <f>CORREL('📈 Доходности'!C6:C130,'📈 Доходности'!D6:D130)</f>
        <v>0.2293933027727777</v>
      </c>
      <c r="D6" s="16">
        <f>CORREL('📈 Доходности'!C6:C130,'📈 Доходности'!E6:E130)</f>
        <v>0.26526910053179581</v>
      </c>
      <c r="E6" s="16">
        <f>CORREL('📈 Доходности'!C6:C130,'📈 Доходности'!F6:F130)</f>
        <v>0.1481433113016794</v>
      </c>
      <c r="F6" s="16">
        <f>CORREL('📈 Доходности'!C6:C130,'📈 Доходности'!G6:G130)</f>
        <v>-0.16959409743799111</v>
      </c>
      <c r="G6" s="16">
        <f>CORREL('📈 Доходности'!C6:C130,'📈 Доходности'!H6:H130)</f>
        <v>0.2050063568408475</v>
      </c>
    </row>
    <row r="7" spans="1:12" x14ac:dyDescent="0.35">
      <c r="A7" s="14" t="s">
        <v>24</v>
      </c>
      <c r="B7" s="16">
        <f>CORREL('📈 Доходности'!D6:D130,'📈 Доходности'!C6:C130)</f>
        <v>0.2293933027727777</v>
      </c>
      <c r="C7" s="15">
        <v>1</v>
      </c>
      <c r="D7" s="16">
        <f>CORREL('📈 Доходности'!D6:D130,'📈 Доходности'!E6:E130)</f>
        <v>0.47898579908459715</v>
      </c>
      <c r="E7" s="16">
        <f>CORREL('📈 Доходности'!D6:D130,'📈 Доходности'!F6:F130)</f>
        <v>3.2932070384344758E-2</v>
      </c>
      <c r="F7" s="16">
        <f>CORREL('📈 Доходности'!D6:D130,'📈 Доходности'!G6:G130)</f>
        <v>3.7272354590349305E-2</v>
      </c>
      <c r="G7" s="16">
        <f>CORREL('📈 Доходности'!D6:D130,'📈 Доходности'!H6:H130)</f>
        <v>-3.8155180610246447E-2</v>
      </c>
    </row>
    <row r="8" spans="1:12" x14ac:dyDescent="0.35">
      <c r="A8" s="14" t="s">
        <v>25</v>
      </c>
      <c r="B8" s="16">
        <f>CORREL('📈 Доходности'!E6:E130,'📈 Доходности'!C6:C130)</f>
        <v>0.26526910053179581</v>
      </c>
      <c r="C8" s="16">
        <f>CORREL('📈 Доходности'!E6:E130,'📈 Доходности'!D6:D130)</f>
        <v>0.47898579908459715</v>
      </c>
      <c r="D8" s="15">
        <v>1</v>
      </c>
      <c r="E8" s="16">
        <f>CORREL('📈 Доходности'!E6:E130,'📈 Доходности'!F6:F130)</f>
        <v>5.1352585602891798E-2</v>
      </c>
      <c r="F8" s="16">
        <f>CORREL('📈 Доходности'!E6:E130,'📈 Доходности'!G6:G130)</f>
        <v>0.15684774963246859</v>
      </c>
      <c r="G8" s="16">
        <f>CORREL('📈 Доходности'!E6:E130,'📈 Доходности'!H6:H130)</f>
        <v>0.2333269779421149</v>
      </c>
    </row>
    <row r="9" spans="1:12" x14ac:dyDescent="0.35">
      <c r="A9" s="14" t="s">
        <v>26</v>
      </c>
      <c r="B9" s="16">
        <f>CORREL('📈 Доходности'!F6:F130,'📈 Доходности'!C6:C130)</f>
        <v>0.1481433113016794</v>
      </c>
      <c r="C9" s="16">
        <f>CORREL('📈 Доходности'!F6:F130,'📈 Доходности'!D6:D130)</f>
        <v>3.2932070384344758E-2</v>
      </c>
      <c r="D9" s="16">
        <f>CORREL('📈 Доходности'!F6:F130,'📈 Доходности'!E6:E130)</f>
        <v>5.1352585602891798E-2</v>
      </c>
      <c r="E9" s="15">
        <v>1</v>
      </c>
      <c r="F9" s="16">
        <f>CORREL('📈 Доходности'!F6:F130,'📈 Доходности'!G6:G130)</f>
        <v>-8.6149724195302146E-2</v>
      </c>
      <c r="G9" s="16">
        <f>CORREL('📈 Доходности'!F6:F130,'📈 Доходности'!H6:H130)</f>
        <v>6.1550492440824278E-2</v>
      </c>
    </row>
    <row r="10" spans="1:12" x14ac:dyDescent="0.35">
      <c r="A10" s="14" t="s">
        <v>27</v>
      </c>
      <c r="B10" s="16">
        <f>CORREL('📈 Доходности'!G6:G130,'📈 Доходности'!C6:C130)</f>
        <v>-0.16959409743799111</v>
      </c>
      <c r="C10" s="16">
        <f>CORREL('📈 Доходности'!G6:G130,'📈 Доходности'!D6:D130)</f>
        <v>3.7272354590349305E-2</v>
      </c>
      <c r="D10" s="16">
        <f>CORREL('📈 Доходности'!G6:G130,'📈 Доходности'!E6:E130)</f>
        <v>0.15684774963246859</v>
      </c>
      <c r="E10" s="16">
        <f>CORREL('📈 Доходности'!G6:G130,'📈 Доходности'!F6:F130)</f>
        <v>-8.6149724195302146E-2</v>
      </c>
      <c r="F10" s="15">
        <v>1</v>
      </c>
      <c r="G10" s="16">
        <f>CORREL('📈 Доходности'!G6:G130,'📈 Доходности'!H6:H130)</f>
        <v>-2.3354868188426065E-3</v>
      </c>
    </row>
    <row r="11" spans="1:12" x14ac:dyDescent="0.35">
      <c r="A11" s="14" t="s">
        <v>28</v>
      </c>
      <c r="B11" s="16">
        <f>CORREL('📈 Доходности'!H6:H130,'📈 Доходности'!C6:C130)</f>
        <v>0.2050063568408475</v>
      </c>
      <c r="C11" s="16">
        <f>CORREL('📈 Доходности'!H6:H130,'📈 Доходности'!D6:D130)</f>
        <v>-3.8155180610246447E-2</v>
      </c>
      <c r="D11" s="16">
        <f>CORREL('📈 Доходности'!H6:H130,'📈 Доходности'!E6:E130)</f>
        <v>0.2333269779421149</v>
      </c>
      <c r="E11" s="16">
        <f>CORREL('📈 Доходности'!H6:H130,'📈 Доходности'!F6:F130)</f>
        <v>6.1550492440824278E-2</v>
      </c>
      <c r="F11" s="16">
        <f>CORREL('📈 Доходности'!H6:H130,'📈 Доходности'!G6:G130)</f>
        <v>-2.3354868188426065E-3</v>
      </c>
      <c r="G11" s="15">
        <v>1</v>
      </c>
    </row>
    <row r="13" spans="1:12" x14ac:dyDescent="0.35">
      <c r="A13" s="39" t="s">
        <v>50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</row>
    <row r="14" spans="1:12" x14ac:dyDescent="0.35">
      <c r="A14" s="1" t="s">
        <v>51</v>
      </c>
      <c r="B14" s="1"/>
      <c r="C14" s="1" t="s">
        <v>52</v>
      </c>
      <c r="D14" s="1" t="s">
        <v>53</v>
      </c>
      <c r="E14" s="1"/>
      <c r="F14" s="1" t="s">
        <v>54</v>
      </c>
      <c r="G14" s="1"/>
      <c r="H14" s="1"/>
      <c r="I14" s="1"/>
      <c r="J14" s="1"/>
      <c r="K14" s="1"/>
      <c r="L14" s="1"/>
    </row>
    <row r="15" spans="1:12" x14ac:dyDescent="0.35">
      <c r="A15" s="36" t="s">
        <v>55</v>
      </c>
      <c r="B15" s="30"/>
      <c r="C15" s="16">
        <f>D6</f>
        <v>0.26526910053179581</v>
      </c>
      <c r="D15" s="37" t="str">
        <f>IF(ABS(C6)&gt;=0.7,"🟢 Сильная",IF(ABS(C6)&gt;=0.3,"🟡 Средняя","🔴 Слабая"))</f>
        <v>🔴 Слабая</v>
      </c>
      <c r="E15" s="30"/>
      <c r="F15" s="38" t="s">
        <v>56</v>
      </c>
      <c r="G15" s="29"/>
      <c r="H15" s="29"/>
      <c r="I15" s="29"/>
      <c r="J15" s="29"/>
      <c r="K15" s="29"/>
      <c r="L15" s="30"/>
    </row>
    <row r="16" spans="1:12" x14ac:dyDescent="0.35">
      <c r="A16" s="36" t="s">
        <v>57</v>
      </c>
      <c r="B16" s="30"/>
      <c r="C16" s="16">
        <f>E6</f>
        <v>0.1481433113016794</v>
      </c>
      <c r="D16" s="37" t="str">
        <f>IF(ABS(F6)&gt;=0.7,"🟢 Сильная",IF(ABS(F6)&gt;=0.3,"🟡 Средняя","🔴 Слабая"))</f>
        <v>🔴 Слабая</v>
      </c>
      <c r="E16" s="30"/>
      <c r="F16" s="38" t="s">
        <v>58</v>
      </c>
      <c r="G16" s="29"/>
      <c r="H16" s="29"/>
      <c r="I16" s="29"/>
      <c r="J16" s="29"/>
      <c r="K16" s="29"/>
      <c r="L16" s="30"/>
    </row>
    <row r="17" spans="1:12" x14ac:dyDescent="0.35">
      <c r="A17" s="36" t="s">
        <v>59</v>
      </c>
      <c r="B17" s="30"/>
      <c r="C17" s="16">
        <f>G9</f>
        <v>6.1550492440824278E-2</v>
      </c>
      <c r="D17" s="37" t="str">
        <f>IF(ABS(E8)&gt;=0.7,"🟢 Сильная",IF(ABS(E8)&gt;=0.3,"🟡 Средняя","🔴 Слабая"))</f>
        <v>🔴 Слабая</v>
      </c>
      <c r="E17" s="30"/>
      <c r="F17" s="38" t="s">
        <v>60</v>
      </c>
      <c r="G17" s="29"/>
      <c r="H17" s="29"/>
      <c r="I17" s="29"/>
      <c r="J17" s="29"/>
      <c r="K17" s="29"/>
      <c r="L17" s="30"/>
    </row>
    <row r="18" spans="1:12" x14ac:dyDescent="0.35">
      <c r="A18" s="36" t="s">
        <v>61</v>
      </c>
      <c r="B18" s="30"/>
      <c r="C18" s="16">
        <f>F7</f>
        <v>3.7272354590349305E-2</v>
      </c>
      <c r="D18" s="37" t="str">
        <f>IF(ABS(G10)&gt;=0.7,"🟢 Сильная",IF(ABS(G10)&gt;=0.3,"🟡 Средняя","🔴 Слабая"))</f>
        <v>🔴 Слабая</v>
      </c>
      <c r="E18" s="30"/>
      <c r="F18" s="38" t="s">
        <v>62</v>
      </c>
      <c r="G18" s="29"/>
      <c r="H18" s="29"/>
      <c r="I18" s="29"/>
      <c r="J18" s="29"/>
      <c r="K18" s="29"/>
      <c r="L18" s="30"/>
    </row>
    <row r="19" spans="1:12" x14ac:dyDescent="0.35">
      <c r="A19" s="36" t="s">
        <v>63</v>
      </c>
      <c r="B19" s="30"/>
      <c r="C19" s="16">
        <f>G6</f>
        <v>0.2050063568408475</v>
      </c>
      <c r="D19" s="37" t="str">
        <f>IF(ABS(G7)&gt;=0.7,"🟢 Сильная",IF(ABS(G7)&gt;=0.3,"🟡 Средняя","🔴 Слабая"))</f>
        <v>🔴 Слабая</v>
      </c>
      <c r="E19" s="30"/>
      <c r="F19" s="38" t="s">
        <v>64</v>
      </c>
      <c r="G19" s="29"/>
      <c r="H19" s="29"/>
      <c r="I19" s="29"/>
      <c r="J19" s="29"/>
      <c r="K19" s="29"/>
      <c r="L19" s="30"/>
    </row>
    <row r="21" spans="1:12" ht="15.5" x14ac:dyDescent="0.35">
      <c r="A21" s="33" t="s">
        <v>65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x14ac:dyDescent="0.35">
      <c r="A22" s="31" t="s">
        <v>66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4" spans="1:12" x14ac:dyDescent="0.35">
      <c r="A24" s="1" t="s">
        <v>51</v>
      </c>
      <c r="B24" s="1"/>
      <c r="C24" s="1" t="s">
        <v>52</v>
      </c>
      <c r="D24" s="1" t="s">
        <v>67</v>
      </c>
      <c r="E24" s="1" t="s">
        <v>68</v>
      </c>
      <c r="F24" s="1" t="s">
        <v>69</v>
      </c>
      <c r="G24" s="1" t="s">
        <v>70</v>
      </c>
      <c r="H24" s="1"/>
      <c r="I24" s="1" t="s">
        <v>71</v>
      </c>
      <c r="J24" s="1"/>
      <c r="K24" s="1"/>
      <c r="L24" s="1"/>
    </row>
    <row r="25" spans="1:12" x14ac:dyDescent="0.35">
      <c r="A25" s="36" t="s">
        <v>55</v>
      </c>
      <c r="B25" s="30"/>
      <c r="C25" s="16">
        <f>C15</f>
        <v>0.26526910053179581</v>
      </c>
      <c r="D25" s="3">
        <v>125</v>
      </c>
      <c r="E25" s="16">
        <f>C25*SQRT(125-2)/SQRT(1-C25^2)</f>
        <v>3.0512909230032537</v>
      </c>
      <c r="F25" s="3">
        <v>2.0499999999999998</v>
      </c>
      <c r="G25" s="35" t="str">
        <f>IF(ABS(E25)&gt;2.05,"✅ Реальная","❌ Случайная")</f>
        <v>✅ Реальная</v>
      </c>
      <c r="H25" s="30"/>
      <c r="I25" s="38" t="str">
        <f>IF(ABS(E25)&gt;2.05,"Учитывать в портфеле","Игнорировать")</f>
        <v>Учитывать в портфеле</v>
      </c>
      <c r="J25" s="29"/>
      <c r="K25" s="29"/>
      <c r="L25" s="30"/>
    </row>
    <row r="26" spans="1:12" x14ac:dyDescent="0.35">
      <c r="A26" s="36" t="s">
        <v>57</v>
      </c>
      <c r="B26" s="30"/>
      <c r="C26" s="16">
        <f>C16</f>
        <v>0.1481433113016794</v>
      </c>
      <c r="D26" s="3">
        <v>125</v>
      </c>
      <c r="E26" s="16">
        <f>C26*SQRT(125-2)/SQRT(1-C26^2)</f>
        <v>1.6613199661293305</v>
      </c>
      <c r="F26" s="3">
        <v>2.0499999999999998</v>
      </c>
      <c r="G26" s="35" t="str">
        <f>IF(ABS(E26)&gt;2.05,"✅ Реальная","❌ Случайная")</f>
        <v>❌ Случайная</v>
      </c>
      <c r="H26" s="30"/>
      <c r="I26" s="38" t="str">
        <f>IF(ABS(E26)&gt;2.05,"Учитывать в портфеле","Игнорировать")</f>
        <v>Игнорировать</v>
      </c>
      <c r="J26" s="29"/>
      <c r="K26" s="29"/>
      <c r="L26" s="30"/>
    </row>
    <row r="27" spans="1:12" x14ac:dyDescent="0.35">
      <c r="A27" s="36" t="s">
        <v>59</v>
      </c>
      <c r="B27" s="30"/>
      <c r="C27" s="16">
        <f>C17</f>
        <v>6.1550492440824278E-2</v>
      </c>
      <c r="D27" s="3">
        <v>125</v>
      </c>
      <c r="E27" s="16">
        <f>C27*SQRT(125-2)/SQRT(1-C27^2)</f>
        <v>0.68392472452961317</v>
      </c>
      <c r="F27" s="3">
        <v>2.0499999999999998</v>
      </c>
      <c r="G27" s="35" t="str">
        <f>IF(ABS(E27)&gt;2.05,"✅ Реальная","❌ Случайная")</f>
        <v>❌ Случайная</v>
      </c>
      <c r="H27" s="30"/>
      <c r="I27" s="38" t="str">
        <f>IF(ABS(E27)&gt;2.05,"Учитывать в портфеле","Игнорировать")</f>
        <v>Игнорировать</v>
      </c>
      <c r="J27" s="29"/>
      <c r="K27" s="29"/>
      <c r="L27" s="30"/>
    </row>
    <row r="28" spans="1:12" x14ac:dyDescent="0.35">
      <c r="A28" s="36" t="s">
        <v>61</v>
      </c>
      <c r="B28" s="30"/>
      <c r="C28" s="16">
        <f>C18</f>
        <v>3.7272354590349305E-2</v>
      </c>
      <c r="D28" s="3">
        <v>125</v>
      </c>
      <c r="E28" s="16">
        <f>C28*SQRT(125-2)/SQRT(1-C28^2)</f>
        <v>0.41365784174041154</v>
      </c>
      <c r="F28" s="3">
        <v>2.0499999999999998</v>
      </c>
      <c r="G28" s="35" t="str">
        <f>IF(ABS(E28)&gt;2.05,"✅ Реальная","❌ Случайная")</f>
        <v>❌ Случайная</v>
      </c>
      <c r="H28" s="30"/>
      <c r="I28" s="38" t="str">
        <f>IF(ABS(E28)&gt;2.05,"Учитывать в портфеле","Игнорировать")</f>
        <v>Игнорировать</v>
      </c>
      <c r="J28" s="29"/>
      <c r="K28" s="29"/>
      <c r="L28" s="30"/>
    </row>
    <row r="29" spans="1:12" x14ac:dyDescent="0.35">
      <c r="A29" s="36" t="s">
        <v>63</v>
      </c>
      <c r="B29" s="30"/>
      <c r="C29" s="16">
        <f>C19</f>
        <v>0.2050063568408475</v>
      </c>
      <c r="D29" s="3">
        <v>125</v>
      </c>
      <c r="E29" s="16">
        <f>C29*SQRT(125-2)/SQRT(1-C29^2)</f>
        <v>2.3229688524689802</v>
      </c>
      <c r="F29" s="3">
        <v>2.0499999999999998</v>
      </c>
      <c r="G29" s="35" t="str">
        <f>IF(ABS(E29)&gt;2.05,"✅ Реальная","❌ Случайная")</f>
        <v>✅ Реальная</v>
      </c>
      <c r="H29" s="30"/>
      <c r="I29" s="38" t="str">
        <f>IF(ABS(E29)&gt;2.05,"Учитывать в портфеле","Игнорировать")</f>
        <v>Учитывать в портфеле</v>
      </c>
      <c r="J29" s="29"/>
      <c r="K29" s="29"/>
      <c r="L29" s="30"/>
    </row>
    <row r="31" spans="1:12" ht="14.5" customHeight="1" x14ac:dyDescent="0.35">
      <c r="A31" s="49" t="s">
        <v>147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</row>
    <row r="32" spans="1:12" x14ac:dyDescent="0.3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</row>
    <row r="33" spans="1:12" x14ac:dyDescent="0.3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2" x14ac:dyDescent="0.3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1:12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</row>
    <row r="36" spans="1:12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</row>
  </sheetData>
  <mergeCells count="36">
    <mergeCell ref="D18:E18"/>
    <mergeCell ref="A17:B17"/>
    <mergeCell ref="A29:B29"/>
    <mergeCell ref="A31:L36"/>
    <mergeCell ref="G29:H29"/>
    <mergeCell ref="I28:L28"/>
    <mergeCell ref="I29:L29"/>
    <mergeCell ref="D17:E17"/>
    <mergeCell ref="A27:B27"/>
    <mergeCell ref="F19:L19"/>
    <mergeCell ref="I27:L27"/>
    <mergeCell ref="F17:L17"/>
    <mergeCell ref="A15:B15"/>
    <mergeCell ref="D19:E19"/>
    <mergeCell ref="G27:H27"/>
    <mergeCell ref="A19:B19"/>
    <mergeCell ref="F15:L15"/>
    <mergeCell ref="I25:L25"/>
    <mergeCell ref="G26:H26"/>
    <mergeCell ref="F18:L18"/>
    <mergeCell ref="A1:L1"/>
    <mergeCell ref="G25:H25"/>
    <mergeCell ref="A28:B28"/>
    <mergeCell ref="A26:B26"/>
    <mergeCell ref="D16:E16"/>
    <mergeCell ref="I26:L26"/>
    <mergeCell ref="A13:L13"/>
    <mergeCell ref="A3:L3"/>
    <mergeCell ref="A21:L21"/>
    <mergeCell ref="A16:B16"/>
    <mergeCell ref="A25:B25"/>
    <mergeCell ref="A22:L22"/>
    <mergeCell ref="G28:H28"/>
    <mergeCell ref="F16:L16"/>
    <mergeCell ref="A18:B18"/>
    <mergeCell ref="D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3"/>
  <sheetViews>
    <sheetView topLeftCell="A131" workbookViewId="0">
      <selection activeCell="A145" sqref="A145:XFD145"/>
    </sheetView>
  </sheetViews>
  <sheetFormatPr defaultRowHeight="14.5" x14ac:dyDescent="0.35"/>
  <cols>
    <col min="1" max="10" width="16" customWidth="1"/>
  </cols>
  <sheetData>
    <row r="1" spans="1:10" ht="18.5" x14ac:dyDescent="0.45">
      <c r="A1" s="28" t="s">
        <v>72</v>
      </c>
      <c r="B1" s="29"/>
      <c r="C1" s="29"/>
      <c r="D1" s="29"/>
      <c r="E1" s="29"/>
      <c r="F1" s="29"/>
      <c r="G1" s="29"/>
      <c r="H1" s="29"/>
      <c r="I1" s="29"/>
      <c r="J1" s="30"/>
    </row>
    <row r="3" spans="1:10" ht="15.5" x14ac:dyDescent="0.35">
      <c r="A3" s="33" t="s">
        <v>73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x14ac:dyDescent="0.35">
      <c r="A4" s="31" t="s">
        <v>74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x14ac:dyDescent="0.35">
      <c r="A5" s="31" t="s">
        <v>75</v>
      </c>
      <c r="B5" s="32"/>
      <c r="C5" s="32"/>
      <c r="D5" s="32"/>
      <c r="E5" s="32"/>
      <c r="F5" s="32"/>
      <c r="G5" s="32"/>
      <c r="H5" s="32"/>
      <c r="I5" s="32"/>
      <c r="J5" s="32"/>
    </row>
    <row r="7" spans="1:10" ht="15.5" x14ac:dyDescent="0.35">
      <c r="A7" s="33" t="s">
        <v>76</v>
      </c>
      <c r="B7" s="32"/>
      <c r="C7" s="32"/>
      <c r="D7" s="32"/>
      <c r="E7" s="32"/>
      <c r="F7" s="32"/>
      <c r="G7" s="32"/>
      <c r="H7" s="32"/>
      <c r="I7" s="32"/>
      <c r="J7" s="32"/>
    </row>
    <row r="8" spans="1:10" x14ac:dyDescent="0.35">
      <c r="A8" s="1" t="s">
        <v>77</v>
      </c>
      <c r="B8" s="1" t="s">
        <v>78</v>
      </c>
      <c r="C8" s="1" t="s">
        <v>79</v>
      </c>
      <c r="D8" s="1"/>
      <c r="E8" s="1" t="s">
        <v>80</v>
      </c>
      <c r="F8" s="1"/>
      <c r="G8" s="1"/>
      <c r="H8" s="1"/>
      <c r="I8" s="1"/>
      <c r="J8" s="1"/>
    </row>
    <row r="9" spans="1:10" x14ac:dyDescent="0.35">
      <c r="A9" s="6" t="s">
        <v>81</v>
      </c>
      <c r="B9" s="5">
        <f>INTERCEPT('📈 Доходности'!C6:C130,'📈 Доходности'!I6:I130)</f>
        <v>-4.7199890300884863E-3</v>
      </c>
      <c r="C9" s="41" t="s">
        <v>82</v>
      </c>
      <c r="D9" s="30"/>
      <c r="E9" s="38" t="s">
        <v>83</v>
      </c>
      <c r="F9" s="29"/>
      <c r="G9" s="29"/>
      <c r="H9" s="29"/>
      <c r="I9" s="29"/>
      <c r="J9" s="30"/>
    </row>
    <row r="10" spans="1:10" x14ac:dyDescent="0.35">
      <c r="A10" s="6" t="s">
        <v>84</v>
      </c>
      <c r="B10" s="17">
        <f>SLOPE('📈 Доходности'!C6:C130,'📈 Доходности'!I6:I130)</f>
        <v>1.7264511184021372</v>
      </c>
      <c r="C10" s="41" t="s">
        <v>85</v>
      </c>
      <c r="D10" s="30"/>
      <c r="E10" s="38" t="s">
        <v>86</v>
      </c>
      <c r="F10" s="29"/>
      <c r="G10" s="29"/>
      <c r="H10" s="29"/>
      <c r="I10" s="29"/>
      <c r="J10" s="30"/>
    </row>
    <row r="11" spans="1:10" x14ac:dyDescent="0.35">
      <c r="A11" s="6" t="s">
        <v>87</v>
      </c>
      <c r="B11" s="18">
        <f>RSQ('📈 Доходности'!C6:C130,'📈 Доходности'!I6:I130)</f>
        <v>0.22159969573366625</v>
      </c>
      <c r="C11" s="41" t="s">
        <v>88</v>
      </c>
      <c r="D11" s="30"/>
      <c r="E11" s="41" t="str">
        <f>TEXT(B11*100,"0")&amp;"% движений PYPL объяснены рынком"</f>
        <v>22% движений PYPL объяснены рынком</v>
      </c>
      <c r="F11" s="29"/>
      <c r="G11" s="29"/>
      <c r="H11" s="29"/>
      <c r="I11" s="29"/>
      <c r="J11" s="30"/>
    </row>
    <row r="13" spans="1:10" ht="15.5" x14ac:dyDescent="0.35">
      <c r="A13" s="33" t="s">
        <v>89</v>
      </c>
      <c r="B13" s="32"/>
      <c r="C13" s="32"/>
      <c r="D13" s="32"/>
      <c r="E13" s="32"/>
      <c r="F13" s="32"/>
      <c r="G13" s="32"/>
      <c r="H13" s="32"/>
      <c r="I13" s="32"/>
      <c r="J13" s="32"/>
    </row>
    <row r="14" spans="1:10" x14ac:dyDescent="0.35">
      <c r="A14" s="40" t="s">
        <v>90</v>
      </c>
      <c r="B14" s="32"/>
      <c r="C14" s="32"/>
      <c r="D14" s="32"/>
      <c r="E14" s="32"/>
      <c r="F14" s="32"/>
      <c r="G14" s="32"/>
      <c r="H14" s="32"/>
      <c r="I14" s="32"/>
      <c r="J14" s="32"/>
    </row>
    <row r="16" spans="1:10" x14ac:dyDescent="0.35">
      <c r="A16" s="1" t="s">
        <v>3</v>
      </c>
      <c r="B16" s="1" t="s">
        <v>91</v>
      </c>
      <c r="C16" s="1"/>
      <c r="D16" s="1" t="s">
        <v>92</v>
      </c>
      <c r="E16" s="1" t="s">
        <v>93</v>
      </c>
      <c r="F16" s="1" t="s">
        <v>94</v>
      </c>
      <c r="G16" s="1" t="s">
        <v>95</v>
      </c>
      <c r="H16" s="1"/>
      <c r="I16" s="1"/>
      <c r="J16" s="1"/>
    </row>
    <row r="17" spans="1:7" x14ac:dyDescent="0.35">
      <c r="A17" s="3">
        <v>2</v>
      </c>
      <c r="B17" s="19">
        <f>'📈 Доходности'!I6</f>
        <v>-5.8581363435491109E-3</v>
      </c>
      <c r="D17" s="19">
        <f>'📈 Доходности'!C6</f>
        <v>-6.9194176156840703E-3</v>
      </c>
      <c r="E17" s="5">
        <f>TREND('📈 Доходности'!C6:C130,'📈 Доходности'!I6:I130,'📈 Доходности'!I6)</f>
        <v>-1.4833775072161062E-2</v>
      </c>
      <c r="F17" s="20">
        <f t="shared" ref="F17:F48" si="0">D17-E17</f>
        <v>7.914357456476992E-3</v>
      </c>
      <c r="G17" s="21">
        <f t="shared" ref="G17:G48" si="1">F17^2</f>
        <v>6.2637053948892964E-5</v>
      </c>
    </row>
    <row r="18" spans="1:7" x14ac:dyDescent="0.35">
      <c r="A18" s="3">
        <v>3</v>
      </c>
      <c r="B18" s="19">
        <f>'📈 Доходности'!I7</f>
        <v>-2.4316175793941304E-3</v>
      </c>
      <c r="D18" s="19">
        <f>'📈 Доходности'!C7</f>
        <v>-1.4080418057773245E-2</v>
      </c>
      <c r="E18" s="5">
        <f>TREND('📈 Доходности'!C6:C130,'📈 Доходности'!I6:I130,'📈 Доходности'!I7)</f>
        <v>-8.9180579195597843E-3</v>
      </c>
      <c r="F18" s="20">
        <f t="shared" si="0"/>
        <v>-5.162360138213461E-3</v>
      </c>
      <c r="G18" s="21">
        <f t="shared" si="1"/>
        <v>2.6649962196615304E-5</v>
      </c>
    </row>
    <row r="19" spans="1:7" x14ac:dyDescent="0.35">
      <c r="A19" s="3">
        <v>4</v>
      </c>
      <c r="B19" s="19">
        <f>'📈 Доходности'!I8</f>
        <v>-4.0042027712022107E-3</v>
      </c>
      <c r="D19" s="19">
        <f>'📈 Доходности'!C8</f>
        <v>-7.8032979976443038E-3</v>
      </c>
      <c r="E19" s="5">
        <f>TREND('📈 Доходности'!C6:C130,'📈 Доходности'!I6:I130,'📈 Доходности'!I8)</f>
        <v>-1.1633049382739485E-2</v>
      </c>
      <c r="F19" s="20">
        <f t="shared" si="0"/>
        <v>3.8297513850951816E-3</v>
      </c>
      <c r="G19" s="21">
        <f t="shared" si="1"/>
        <v>1.4666995671638462E-5</v>
      </c>
    </row>
    <row r="20" spans="1:7" x14ac:dyDescent="0.35">
      <c r="A20" s="3">
        <v>5</v>
      </c>
      <c r="B20" s="19">
        <f>'📈 Доходности'!I9</f>
        <v>1.518640789806234E-2</v>
      </c>
      <c r="D20" s="19">
        <f>'📈 Доходности'!C9</f>
        <v>3.4871642676954952E-2</v>
      </c>
      <c r="E20" s="5">
        <f>TREND('📈 Доходности'!C6:C130,'📈 Доходности'!I6:I130,'📈 Доходности'!I9)</f>
        <v>2.1498601870032306E-2</v>
      </c>
      <c r="F20" s="20">
        <f t="shared" si="0"/>
        <v>1.3373040806922646E-2</v>
      </c>
      <c r="G20" s="21">
        <f t="shared" si="1"/>
        <v>1.7883822042361831E-4</v>
      </c>
    </row>
    <row r="21" spans="1:7" x14ac:dyDescent="0.35">
      <c r="A21" s="3">
        <v>6</v>
      </c>
      <c r="B21" s="19">
        <f>'📈 Доходности'!I10</f>
        <v>-4.2663343080389469E-3</v>
      </c>
      <c r="D21" s="19">
        <f>'📈 Доходности'!C10</f>
        <v>-6.0223687983940602E-3</v>
      </c>
      <c r="E21" s="5">
        <f>TREND('📈 Доходности'!C6:C130,'📈 Доходности'!I6:I130,'📈 Доходности'!I10)</f>
        <v>-1.208560666767974E-2</v>
      </c>
      <c r="F21" s="20">
        <f t="shared" si="0"/>
        <v>6.0632378692856799E-3</v>
      </c>
      <c r="G21" s="21">
        <f t="shared" si="1"/>
        <v>3.6762853459539949E-5</v>
      </c>
    </row>
    <row r="22" spans="1:7" x14ac:dyDescent="0.35">
      <c r="A22" s="3">
        <v>7</v>
      </c>
      <c r="B22" s="19">
        <f>'📈 Доходности'!I11</f>
        <v>4.133976879546271E-3</v>
      </c>
      <c r="D22" s="19">
        <f>'📈 Доходности'!C11</f>
        <v>1.0098095787651513E-2</v>
      </c>
      <c r="E22" s="5">
        <f>TREND('📈 Доходности'!C6:C130,'📈 Доходности'!I6:I130,'📈 Доходности'!I11)</f>
        <v>2.4171199770527544E-3</v>
      </c>
      <c r="F22" s="20">
        <f t="shared" si="0"/>
        <v>7.6809758105987587E-3</v>
      </c>
      <c r="G22" s="21">
        <f t="shared" si="1"/>
        <v>5.8997389403003262E-5</v>
      </c>
    </row>
    <row r="23" spans="1:7" x14ac:dyDescent="0.35">
      <c r="A23" s="3">
        <v>8</v>
      </c>
      <c r="B23" s="19">
        <f>'📈 Доходности'!I12</f>
        <v>2.3909903277791068E-3</v>
      </c>
      <c r="D23" s="19">
        <f>'📈 Доходности'!C12</f>
        <v>-7.569265924021725E-3</v>
      </c>
      <c r="E23" s="5">
        <f>TREND('📈 Доходности'!C6:C130,'📈 Доходности'!I6:I130,'📈 Доходности'!I12)</f>
        <v>-5.9206110460555302E-4</v>
      </c>
      <c r="F23" s="20">
        <f t="shared" si="0"/>
        <v>-6.9772048194161719E-3</v>
      </c>
      <c r="G23" s="21">
        <f t="shared" si="1"/>
        <v>4.8681387092084254E-5</v>
      </c>
    </row>
    <row r="24" spans="1:7" x14ac:dyDescent="0.35">
      <c r="A24" s="3">
        <v>9</v>
      </c>
      <c r="B24" s="19">
        <f>'📈 Доходности'!I13</f>
        <v>3.1567253988335911E-3</v>
      </c>
      <c r="D24" s="19">
        <f>'📈 Доходности'!C13</f>
        <v>5.9001295150382911E-3</v>
      </c>
      <c r="E24" s="5">
        <f>TREND('📈 Доходности'!C6:C130,'📈 Доходности'!I6:I130,'📈 Доходности'!I13)</f>
        <v>7.2994306521620249E-4</v>
      </c>
      <c r="F24" s="20">
        <f t="shared" si="0"/>
        <v>5.1701864498220887E-3</v>
      </c>
      <c r="G24" s="21">
        <f t="shared" si="1"/>
        <v>2.6730827925923935E-5</v>
      </c>
    </row>
    <row r="25" spans="1:7" x14ac:dyDescent="0.35">
      <c r="A25" s="3">
        <v>10</v>
      </c>
      <c r="B25" s="19">
        <f>'📈 Доходности'!I14</f>
        <v>-6.3981691392923654E-3</v>
      </c>
      <c r="D25" s="19">
        <f>'📈 Доходности'!C14</f>
        <v>1.8597997138769019E-3</v>
      </c>
      <c r="E25" s="5">
        <f>TREND('📈 Доходности'!C6:C130,'📈 Доходности'!I6:I130,'📈 Доходности'!I14)</f>
        <v>-1.5766115296345837E-2</v>
      </c>
      <c r="F25" s="20">
        <f t="shared" si="0"/>
        <v>1.7625915010222738E-2</v>
      </c>
      <c r="G25" s="21">
        <f t="shared" si="1"/>
        <v>3.1067287994759521E-4</v>
      </c>
    </row>
    <row r="26" spans="1:7" x14ac:dyDescent="0.35">
      <c r="A26" s="3">
        <v>11</v>
      </c>
      <c r="B26" s="19">
        <f>'📈 Доходности'!I15</f>
        <v>-6.9223220118076138E-3</v>
      </c>
      <c r="D26" s="19">
        <f>'📈 Доходности'!C15</f>
        <v>-1.3422818791946275E-2</v>
      </c>
      <c r="E26" s="5">
        <f>TREND('📈 Доходности'!C6:C130,'📈 Доходности'!I6:I130,'📈 Доходности'!I15)</f>
        <v>-1.667103960931348E-2</v>
      </c>
      <c r="F26" s="20">
        <f t="shared" si="0"/>
        <v>3.2482208173672047E-3</v>
      </c>
      <c r="G26" s="21">
        <f t="shared" si="1"/>
        <v>1.0550938478377671E-5</v>
      </c>
    </row>
    <row r="27" spans="1:7" x14ac:dyDescent="0.35">
      <c r="A27" s="3">
        <v>12</v>
      </c>
      <c r="B27" s="19">
        <f>'📈 Доходности'!I16</f>
        <v>5.1001162801572828E-3</v>
      </c>
      <c r="D27" s="19">
        <f>'📈 Доходности'!C16</f>
        <v>5.6448111159357441E-3</v>
      </c>
      <c r="E27" s="5">
        <f>TREND('📈 Доходности'!C6:C130,'📈 Доходности'!I6:I130,'📈 Доходности'!I16)</f>
        <v>4.085112425770007E-3</v>
      </c>
      <c r="F27" s="20">
        <f t="shared" si="0"/>
        <v>1.559698690165737E-3</v>
      </c>
      <c r="G27" s="21">
        <f t="shared" si="1"/>
        <v>2.4326600041047159E-6</v>
      </c>
    </row>
    <row r="28" spans="1:7" x14ac:dyDescent="0.35">
      <c r="A28" s="3">
        <v>13</v>
      </c>
      <c r="B28" s="19">
        <f>'📈 Доходности'!I17</f>
        <v>8.3464376436433556E-3</v>
      </c>
      <c r="D28" s="19">
        <f>'📈 Доходности'!C17</f>
        <v>-1.6983304548071485E-2</v>
      </c>
      <c r="E28" s="5">
        <f>TREND('📈 Доходности'!C6:C130,'📈 Доходности'!I6:I130,'📈 Доходности'!I17)</f>
        <v>9.6897275744532926E-3</v>
      </c>
      <c r="F28" s="20">
        <f t="shared" si="0"/>
        <v>-2.6673032122524778E-2</v>
      </c>
      <c r="G28" s="21">
        <f t="shared" si="1"/>
        <v>7.1145064260923869E-4</v>
      </c>
    </row>
    <row r="29" spans="1:7" x14ac:dyDescent="0.35">
      <c r="A29" s="3">
        <v>14</v>
      </c>
      <c r="B29" s="19">
        <f>'📈 Доходности'!I18</f>
        <v>-3.1651410010335042E-3</v>
      </c>
      <c r="D29" s="19">
        <f>'📈 Доходности'!C18</f>
        <v>-2.9282576866764692E-3</v>
      </c>
      <c r="E29" s="5">
        <f>TREND('📈 Доходности'!C6:C130,'📈 Доходности'!I6:I130,'📈 Доходности'!I18)</f>
        <v>-1.0184450251223245E-2</v>
      </c>
      <c r="F29" s="20">
        <f t="shared" si="0"/>
        <v>7.2561925645467755E-3</v>
      </c>
      <c r="G29" s="21">
        <f t="shared" si="1"/>
        <v>5.2652330533783913E-5</v>
      </c>
    </row>
    <row r="30" spans="1:7" x14ac:dyDescent="0.35">
      <c r="A30" s="3">
        <v>15</v>
      </c>
      <c r="B30" s="19">
        <f>'📈 Доходности'!I19</f>
        <v>2.1059939828742785E-3</v>
      </c>
      <c r="D30" s="19">
        <f>'📈 Доходности'!C19</f>
        <v>2.0558002936857649E-3</v>
      </c>
      <c r="E30" s="5">
        <f>TREND('📈 Доходности'!C6:C130,'📈 Доходности'!I6:I130,'📈 Доходности'!I19)</f>
        <v>-1.0840933630070155E-3</v>
      </c>
      <c r="F30" s="20">
        <f t="shared" si="0"/>
        <v>3.1398936566927804E-3</v>
      </c>
      <c r="G30" s="21">
        <f t="shared" si="1"/>
        <v>9.8589321753395595E-6</v>
      </c>
    </row>
    <row r="31" spans="1:7" x14ac:dyDescent="0.35">
      <c r="A31" s="3">
        <v>16</v>
      </c>
      <c r="B31" s="19">
        <f>'📈 Доходности'!I20</f>
        <v>2.6881596267984633E-3</v>
      </c>
      <c r="D31" s="19">
        <f>'📈 Доходности'!C20</f>
        <v>-1.0550996483001156E-2</v>
      </c>
      <c r="E31" s="5">
        <f>TREND('📈 Доходности'!C6:C130,'📈 Доходности'!I6:I130,'📈 Доходности'!I20)</f>
        <v>-7.9012835958805483E-5</v>
      </c>
      <c r="F31" s="20">
        <f t="shared" si="0"/>
        <v>-1.0471983647042351E-2</v>
      </c>
      <c r="G31" s="21">
        <f t="shared" si="1"/>
        <v>1.0966244150392242E-4</v>
      </c>
    </row>
    <row r="32" spans="1:7" x14ac:dyDescent="0.35">
      <c r="A32" s="3">
        <v>17</v>
      </c>
      <c r="B32" s="19">
        <f>'📈 Доходности'!I21</f>
        <v>2.9834428900241674E-3</v>
      </c>
      <c r="D32" s="19">
        <f>'📈 Доходности'!C21</f>
        <v>-3.006516587677727E-2</v>
      </c>
      <c r="E32" s="5">
        <f>TREND('📈 Доходности'!C6:C130,'📈 Доходности'!I6:I130,'📈 Доходности'!I21)</f>
        <v>4.3077928408264462E-4</v>
      </c>
      <c r="F32" s="20">
        <f t="shared" si="0"/>
        <v>-3.0495945160859916E-2</v>
      </c>
      <c r="G32" s="21">
        <f t="shared" si="1"/>
        <v>9.3000267125417527E-4</v>
      </c>
    </row>
    <row r="33" spans="1:7" x14ac:dyDescent="0.35">
      <c r="A33" s="3">
        <v>18</v>
      </c>
      <c r="B33" s="19">
        <f>'📈 Доходности'!I22</f>
        <v>8.4858635280862169E-3</v>
      </c>
      <c r="D33" s="19">
        <f>'📈 Доходности'!C22</f>
        <v>2.4736601007787521E-2</v>
      </c>
      <c r="E33" s="5">
        <f>TREND('📈 Доходности'!C6:C130,'📈 Доходности'!I6:I130,'📈 Доходности'!I22)</f>
        <v>9.9304395485838755E-3</v>
      </c>
      <c r="F33" s="20">
        <f t="shared" si="0"/>
        <v>1.4806161459203646E-2</v>
      </c>
      <c r="G33" s="21">
        <f t="shared" si="1"/>
        <v>2.1922241715600742E-4</v>
      </c>
    </row>
    <row r="34" spans="1:7" x14ac:dyDescent="0.35">
      <c r="A34" s="3">
        <v>19</v>
      </c>
      <c r="B34" s="19">
        <f>'📈 Доходности'!I23</f>
        <v>-4.827346462299321E-4</v>
      </c>
      <c r="D34" s="19">
        <f>'📈 Доходности'!C23</f>
        <v>-5.5133363135151919E-3</v>
      </c>
      <c r="E34" s="5">
        <f>TREND('📈 Доходности'!C6:C130,'📈 Доходности'!I6:I130,'📈 Доходности'!I23)</f>
        <v>-5.5534067999636139E-3</v>
      </c>
      <c r="F34" s="20">
        <f t="shared" si="0"/>
        <v>4.0070486448422031E-5</v>
      </c>
      <c r="G34" s="21">
        <f t="shared" si="1"/>
        <v>1.6056438842131737E-9</v>
      </c>
    </row>
    <row r="35" spans="1:7" x14ac:dyDescent="0.35">
      <c r="A35" s="3">
        <v>20</v>
      </c>
      <c r="B35" s="19">
        <f>'📈 Доходности'!I24</f>
        <v>4.7066578173196776E-3</v>
      </c>
      <c r="D35" s="19">
        <f>'📈 Доходности'!C24</f>
        <v>3.2963739886125096E-3</v>
      </c>
      <c r="E35" s="5">
        <f>TREND('📈 Доходности'!C6:C130,'📈 Доходности'!I6:I130,'📈 Доходности'!I24)</f>
        <v>3.4058256225592371E-3</v>
      </c>
      <c r="F35" s="20">
        <f t="shared" si="0"/>
        <v>-1.0945163394672757E-4</v>
      </c>
      <c r="G35" s="21">
        <f t="shared" si="1"/>
        <v>1.1979660173608446E-8</v>
      </c>
    </row>
    <row r="36" spans="1:7" x14ac:dyDescent="0.35">
      <c r="A36" s="3">
        <v>21</v>
      </c>
      <c r="B36" s="19">
        <f>'📈 Доходности'!I25</f>
        <v>-1.2879273439672285E-3</v>
      </c>
      <c r="D36" s="19">
        <f>'📈 Доходности'!C25</f>
        <v>-3.8829151732376185E-3</v>
      </c>
      <c r="E36" s="5">
        <f>TREND('📈 Доходности'!C6:C130,'📈 Доходности'!I6:I130,'📈 Доходности'!I25)</f>
        <v>-6.9435326335014046E-3</v>
      </c>
      <c r="F36" s="20">
        <f t="shared" si="0"/>
        <v>3.0606174602637861E-3</v>
      </c>
      <c r="G36" s="21">
        <f t="shared" si="1"/>
        <v>9.3673792380715478E-6</v>
      </c>
    </row>
    <row r="37" spans="1:7" x14ac:dyDescent="0.35">
      <c r="A37" s="3">
        <v>22</v>
      </c>
      <c r="B37" s="19">
        <f>'📈 Доходности'!I26</f>
        <v>-9.7021838238408144E-4</v>
      </c>
      <c r="D37" s="19">
        <f>'📈 Доходности'!C26</f>
        <v>2.6386806596701513E-2</v>
      </c>
      <c r="E37" s="5">
        <f>TREND('📈 Доходности'!C6:C130,'📈 Доходности'!I6:I130,'📈 Доходности'!I26)</f>
        <v>-6.3950236414497983E-3</v>
      </c>
      <c r="F37" s="20">
        <f t="shared" si="0"/>
        <v>3.2781830238151309E-2</v>
      </c>
      <c r="G37" s="21">
        <f t="shared" si="1"/>
        <v>1.0746483937629715E-3</v>
      </c>
    </row>
    <row r="38" spans="1:7" x14ac:dyDescent="0.35">
      <c r="A38" s="3">
        <v>23</v>
      </c>
      <c r="B38" s="19">
        <f>'📈 Доходности'!I27</f>
        <v>4.789139969850034E-3</v>
      </c>
      <c r="D38" s="19">
        <f>'📈 Доходности'!C27</f>
        <v>-1.4607069821792919E-3</v>
      </c>
      <c r="E38" s="5">
        <f>TREND('📈 Доходности'!C6:C130,'📈 Доходности'!I6:I130,'📈 Доходности'!I27)</f>
        <v>3.5482270270434874E-3</v>
      </c>
      <c r="F38" s="20">
        <f t="shared" si="0"/>
        <v>-5.0089340092227793E-3</v>
      </c>
      <c r="G38" s="21">
        <f t="shared" si="1"/>
        <v>2.5089419908748587E-5</v>
      </c>
    </row>
    <row r="39" spans="1:7" x14ac:dyDescent="0.35">
      <c r="A39" s="3">
        <v>24</v>
      </c>
      <c r="B39" s="19">
        <f>'📈 Доходности'!I28</f>
        <v>4.8854335671505312E-3</v>
      </c>
      <c r="D39" s="19">
        <f>'📈 Доходности'!C28</f>
        <v>-4.3885313048565994E-3</v>
      </c>
      <c r="E39" s="5">
        <f>TREND('📈 Доходности'!C6:C130,'📈 Доходности'!I6:I130,'📈 Доходности'!I28)</f>
        <v>3.7144732157978954E-3</v>
      </c>
      <c r="F39" s="20">
        <f t="shared" si="0"/>
        <v>-8.1030045206544957E-3</v>
      </c>
      <c r="G39" s="21">
        <f t="shared" si="1"/>
        <v>6.5658682261747193E-5</v>
      </c>
    </row>
    <row r="40" spans="1:7" x14ac:dyDescent="0.35">
      <c r="A40" s="3">
        <v>25</v>
      </c>
      <c r="B40" s="19">
        <f>'📈 Доходности'!I29</f>
        <v>4.4100258689507062E-3</v>
      </c>
      <c r="D40" s="19">
        <f>'📈 Доходности'!C29</f>
        <v>-7.934175727299533E-3</v>
      </c>
      <c r="E40" s="5">
        <f>TREND('📈 Доходности'!C6:C130,'📈 Доходности'!I6:I130,'📈 Доходности'!I29)</f>
        <v>2.8937050635438211E-3</v>
      </c>
      <c r="F40" s="20">
        <f t="shared" si="0"/>
        <v>-1.0827880790843354E-2</v>
      </c>
      <c r="G40" s="21">
        <f t="shared" si="1"/>
        <v>1.172430024207145E-4</v>
      </c>
    </row>
    <row r="41" spans="1:7" x14ac:dyDescent="0.35">
      <c r="A41" s="3">
        <v>26</v>
      </c>
      <c r="B41" s="19">
        <f>'📈 Доходности'!I30</f>
        <v>-5.5021475256769262E-3</v>
      </c>
      <c r="D41" s="19">
        <f>'📈 Доходности'!C30</f>
        <v>-5.4798578199050704E-3</v>
      </c>
      <c r="E41" s="5">
        <f>TREND('📈 Доходности'!C6:C130,'📈 Доходности'!I6:I130,'📈 Доходности'!I30)</f>
        <v>-1.4219177779406976E-2</v>
      </c>
      <c r="F41" s="20">
        <f t="shared" si="0"/>
        <v>8.7393199595019056E-3</v>
      </c>
      <c r="G41" s="21">
        <f t="shared" si="1"/>
        <v>7.6375713354548392E-5</v>
      </c>
    </row>
    <row r="42" spans="1:7" x14ac:dyDescent="0.35">
      <c r="A42" s="3">
        <v>27</v>
      </c>
      <c r="B42" s="19">
        <f>'📈 Доходности'!I31</f>
        <v>-2.8466618195801987E-3</v>
      </c>
      <c r="D42" s="19">
        <f>'📈 Доходности'!C31</f>
        <v>8.1906180193595992E-3</v>
      </c>
      <c r="E42" s="5">
        <f>TREND('📈 Доходности'!C6:C130,'📈 Доходности'!I6:I130,'📈 Доходности'!I31)</f>
        <v>-9.6346115122153877E-3</v>
      </c>
      <c r="F42" s="20">
        <f t="shared" si="0"/>
        <v>1.7825229531574987E-2</v>
      </c>
      <c r="G42" s="21">
        <f t="shared" si="1"/>
        <v>3.1773880785333303E-4</v>
      </c>
    </row>
    <row r="43" spans="1:7" x14ac:dyDescent="0.35">
      <c r="A43" s="3">
        <v>28</v>
      </c>
      <c r="B43" s="19">
        <f>'📈 Доходности'!I32</f>
        <v>-5.0090615052493454E-3</v>
      </c>
      <c r="D43" s="19">
        <f>'📈 Доходности'!C32</f>
        <v>-1.6395864106351542E-2</v>
      </c>
      <c r="E43" s="5">
        <f>TREND('📈 Доходности'!C6:C130,'📈 Доходности'!I6:I130,'📈 Доходности'!I32)</f>
        <v>-1.3367888867971318E-2</v>
      </c>
      <c r="F43" s="20">
        <f t="shared" si="0"/>
        <v>-3.027975238380224E-3</v>
      </c>
      <c r="G43" s="21">
        <f t="shared" si="1"/>
        <v>9.1686340442437736E-6</v>
      </c>
    </row>
    <row r="44" spans="1:7" x14ac:dyDescent="0.35">
      <c r="A44" s="3">
        <v>29</v>
      </c>
      <c r="B44" s="19">
        <f>'📈 Доходности'!I33</f>
        <v>5.901839896316507E-3</v>
      </c>
      <c r="D44" s="19">
        <f>'📈 Доходности'!C33</f>
        <v>8.2594984231866217E-3</v>
      </c>
      <c r="E44" s="5">
        <f>TREND('📈 Доходности'!C6:C130,'📈 Доходности'!I6:I130,'📈 Доходности'!I33)</f>
        <v>5.4692490595375067E-3</v>
      </c>
      <c r="F44" s="20">
        <f t="shared" si="0"/>
        <v>2.790249363649115E-3</v>
      </c>
      <c r="G44" s="21">
        <f t="shared" si="1"/>
        <v>7.7854915113442906E-6</v>
      </c>
    </row>
    <row r="45" spans="1:7" x14ac:dyDescent="0.35">
      <c r="A45" s="3">
        <v>30</v>
      </c>
      <c r="B45" s="19">
        <f>'📈 Доходности'!I34</f>
        <v>2.6355795716242786E-3</v>
      </c>
      <c r="D45" s="19">
        <f>'📈 Доходности'!C34</f>
        <v>3.5448316949657367E-2</v>
      </c>
      <c r="E45" s="5">
        <f>TREND('📈 Доходности'!C6:C130,'📈 Доходности'!I6:I130,'📈 Доходности'!I34)</f>
        <v>-1.697897310199226E-4</v>
      </c>
      <c r="F45" s="20">
        <f t="shared" si="0"/>
        <v>3.5618106680677289E-2</v>
      </c>
      <c r="G45" s="21">
        <f t="shared" si="1"/>
        <v>1.268649523516108E-3</v>
      </c>
    </row>
    <row r="46" spans="1:7" x14ac:dyDescent="0.35">
      <c r="A46" s="3">
        <v>31</v>
      </c>
      <c r="B46" s="19">
        <f>'📈 Доходности'!I35</f>
        <v>4.0908483593821545E-3</v>
      </c>
      <c r="D46" s="19">
        <f>'📈 Доходности'!C35</f>
        <v>-3.7543153049482157E-2</v>
      </c>
      <c r="E46" s="5">
        <f>TREND('📈 Доходности'!C6:C130,'📈 Доходности'!I6:I130,'📈 Доходности'!I35)</f>
        <v>2.3426606951803862E-3</v>
      </c>
      <c r="F46" s="20">
        <f t="shared" si="0"/>
        <v>-3.9885813744662546E-2</v>
      </c>
      <c r="G46" s="21">
        <f t="shared" si="1"/>
        <v>1.5908781380739117E-3</v>
      </c>
    </row>
    <row r="47" spans="1:7" x14ac:dyDescent="0.35">
      <c r="A47" s="3">
        <v>32</v>
      </c>
      <c r="B47" s="19">
        <f>'📈 Доходности'!I36</f>
        <v>3.3998857734067007E-3</v>
      </c>
      <c r="D47" s="19">
        <f>'📈 Доходности'!C36</f>
        <v>-5.9781796442981844E-3</v>
      </c>
      <c r="E47" s="5">
        <f>TREND('📈 Доходности'!C6:C130,'📈 Доходности'!I6:I130,'📈 Доходности'!I36)</f>
        <v>1.1497475658490304E-3</v>
      </c>
      <c r="F47" s="20">
        <f t="shared" si="0"/>
        <v>-7.1279272101472148E-3</v>
      </c>
      <c r="G47" s="21">
        <f t="shared" si="1"/>
        <v>5.0807346313157055E-5</v>
      </c>
    </row>
    <row r="48" spans="1:7" x14ac:dyDescent="0.35">
      <c r="A48" s="3">
        <v>33</v>
      </c>
      <c r="B48" s="19">
        <f>'📈 Доходности'!I37</f>
        <v>6.1836929312202677E-4</v>
      </c>
      <c r="D48" s="19">
        <f>'📈 Доходности'!C37</f>
        <v>3.397985265373614E-2</v>
      </c>
      <c r="E48" s="5">
        <f>TREND('📈 Доходности'!C6:C130,'📈 Доходности'!I6:I130,'📈 Доходности'!I37)</f>
        <v>-3.6524046723924244E-3</v>
      </c>
      <c r="F48" s="20">
        <f t="shared" si="0"/>
        <v>3.7632257326128564E-2</v>
      </c>
      <c r="G48" s="21">
        <f t="shared" si="1"/>
        <v>1.4161867914599569E-3</v>
      </c>
    </row>
    <row r="49" spans="1:7" x14ac:dyDescent="0.35">
      <c r="A49" s="3">
        <v>34</v>
      </c>
      <c r="B49" s="19">
        <f>'📈 Доходности'!I38</f>
        <v>6.5521529034167953E-5</v>
      </c>
      <c r="D49" s="19">
        <f>'📈 Доходности'!C38</f>
        <v>4.6531917987495622E-3</v>
      </c>
      <c r="E49" s="5">
        <f>TREND('📈 Доходности'!C6:C130,'📈 Доходности'!I6:I130,'📈 Доходности'!I38)</f>
        <v>-4.6068693130080296E-3</v>
      </c>
      <c r="F49" s="20">
        <f t="shared" ref="F49:F80" si="2">D49-E49</f>
        <v>9.2600611117575928E-3</v>
      </c>
      <c r="G49" s="21">
        <f t="shared" ref="G49:G80" si="3">F49^2</f>
        <v>8.5748731793485258E-5</v>
      </c>
    </row>
    <row r="50" spans="1:7" x14ac:dyDescent="0.35">
      <c r="A50" s="3">
        <v>35</v>
      </c>
      <c r="B50" s="19">
        <f>'📈 Доходности'!I39</f>
        <v>3.6466298082578194E-3</v>
      </c>
      <c r="D50" s="19">
        <f>'📈 Доходности'!C39</f>
        <v>2.9526704298740655E-2</v>
      </c>
      <c r="E50" s="5">
        <f>TREND('📈 Доходности'!C6:C130,'📈 Доходности'!I6:I130,'📈 Доходности'!I39)</f>
        <v>1.5757390807767998E-3</v>
      </c>
      <c r="F50" s="20">
        <f t="shared" si="2"/>
        <v>2.7950965217963857E-2</v>
      </c>
      <c r="G50" s="21">
        <f t="shared" si="3"/>
        <v>7.8125645661582526E-4</v>
      </c>
    </row>
    <row r="51" spans="1:7" x14ac:dyDescent="0.35">
      <c r="A51" s="3">
        <v>36</v>
      </c>
      <c r="B51" s="19">
        <f>'📈 Доходности'!I40</f>
        <v>-3.8114143626080225E-3</v>
      </c>
      <c r="D51" s="19">
        <f>'📈 Доходности'!C40</f>
        <v>4.6534514269647158E-2</v>
      </c>
      <c r="E51" s="5">
        <f>TREND('📈 Доходности'!C6:C130,'📈 Доходности'!I6:I130,'📈 Доходности'!I40)</f>
        <v>-1.130020961910708E-2</v>
      </c>
      <c r="F51" s="20">
        <f t="shared" si="2"/>
        <v>5.7834723888754241E-2</v>
      </c>
      <c r="G51" s="21">
        <f t="shared" si="3"/>
        <v>3.3448552872884403E-3</v>
      </c>
    </row>
    <row r="52" spans="1:7" x14ac:dyDescent="0.35">
      <c r="A52" s="3">
        <v>37</v>
      </c>
      <c r="B52" s="19">
        <f>'📈 Доходности'!I41</f>
        <v>5.8276082381798601E-3</v>
      </c>
      <c r="D52" s="19">
        <f>'📈 Доходности'!C41</f>
        <v>2.02847931219775E-2</v>
      </c>
      <c r="E52" s="5">
        <f>TREND('📈 Доходности'!C6:C130,'📈 Доходности'!I6:I130,'📈 Доходности'!I41)</f>
        <v>5.3410917303266464E-3</v>
      </c>
      <c r="F52" s="20">
        <f t="shared" si="2"/>
        <v>1.4943701391650854E-2</v>
      </c>
      <c r="G52" s="21">
        <f t="shared" si="3"/>
        <v>2.2331421128282767E-4</v>
      </c>
    </row>
    <row r="53" spans="1:7" x14ac:dyDescent="0.35">
      <c r="A53" s="3">
        <v>38</v>
      </c>
      <c r="B53" s="19">
        <f>'📈 Доходности'!I42</f>
        <v>-2.755518440207853E-3</v>
      </c>
      <c r="D53" s="19">
        <f>'📈 Доходности'!C42</f>
        <v>-4.8716260697828119E-3</v>
      </c>
      <c r="E53" s="5">
        <f>TREND('📈 Доходности'!C6:C130,'📈 Доходности'!I6:I130,'📈 Доходности'!I42)</f>
        <v>-9.4772569229630496E-3</v>
      </c>
      <c r="F53" s="20">
        <f t="shared" si="2"/>
        <v>4.6056308531802377E-3</v>
      </c>
      <c r="G53" s="21">
        <f t="shared" si="3"/>
        <v>2.1211835555765725E-5</v>
      </c>
    </row>
    <row r="54" spans="1:7" x14ac:dyDescent="0.35">
      <c r="A54" s="3">
        <v>39</v>
      </c>
      <c r="B54" s="19">
        <f>'📈 Доходности'!I43</f>
        <v>-2.7111658161485034E-2</v>
      </c>
      <c r="D54" s="19">
        <f>'📈 Доходности'!C43</f>
        <v>-7.8062979624239109E-2</v>
      </c>
      <c r="E54" s="5">
        <f>TREND('📈 Доходности'!C6:C130,'📈 Доходности'!I6:I130,'📈 Доходности'!I43)</f>
        <v>-5.1526941584720785E-2</v>
      </c>
      <c r="F54" s="20">
        <f t="shared" si="2"/>
        <v>-2.6536038039518324E-2</v>
      </c>
      <c r="G54" s="21">
        <f t="shared" si="3"/>
        <v>7.0416131483476353E-4</v>
      </c>
    </row>
    <row r="55" spans="1:7" x14ac:dyDescent="0.35">
      <c r="A55" s="3">
        <v>40</v>
      </c>
      <c r="B55" s="19">
        <f>'📈 Доходности'!I44</f>
        <v>1.5598602672868875E-2</v>
      </c>
      <c r="D55" s="19">
        <f>'📈 Доходности'!C44</f>
        <v>-1.406429391504024E-2</v>
      </c>
      <c r="E55" s="5">
        <f>TREND('📈 Доходности'!C6:C130,'📈 Доходности'!I6:I130,'📈 Доходности'!I44)</f>
        <v>2.2210235999996563E-2</v>
      </c>
      <c r="F55" s="20">
        <f t="shared" si="2"/>
        <v>-3.6274529915036803E-2</v>
      </c>
      <c r="G55" s="21">
        <f t="shared" si="3"/>
        <v>1.3158415205569E-3</v>
      </c>
    </row>
    <row r="56" spans="1:7" x14ac:dyDescent="0.35">
      <c r="A56" s="3">
        <v>41</v>
      </c>
      <c r="B56" s="19">
        <f>'📈 Доходности'!I45</f>
        <v>-1.5643032313906301E-3</v>
      </c>
      <c r="D56" s="19">
        <f>'📈 Доходности'!C45</f>
        <v>4.2212518195049783E-3</v>
      </c>
      <c r="E56" s="5">
        <f>TREND('📈 Доходности'!C6:C130,'📈 Доходности'!I6:I130,'📈 Доходности'!I45)</f>
        <v>-7.4206820934429197E-3</v>
      </c>
      <c r="F56" s="20">
        <f t="shared" si="2"/>
        <v>1.1641933912947898E-2</v>
      </c>
      <c r="G56" s="21">
        <f t="shared" si="3"/>
        <v>1.3553462523344635E-4</v>
      </c>
    </row>
    <row r="57" spans="1:7" x14ac:dyDescent="0.35">
      <c r="A57" s="3">
        <v>42</v>
      </c>
      <c r="B57" s="19">
        <f>'📈 Доходности'!I46</f>
        <v>4.0260011950074576E-3</v>
      </c>
      <c r="D57" s="19">
        <f>'📈 Доходности'!C46</f>
        <v>-1.6958979562255425E-2</v>
      </c>
      <c r="E57" s="5">
        <f>TREND('📈 Доходности'!C6:C130,'📈 Доходности'!I6:I130,'📈 Доходности'!I46)</f>
        <v>2.2307052357204834E-3</v>
      </c>
      <c r="F57" s="20">
        <f t="shared" si="2"/>
        <v>-1.918968479797591E-2</v>
      </c>
      <c r="G57" s="21">
        <f t="shared" si="3"/>
        <v>3.6824400264566775E-4</v>
      </c>
    </row>
    <row r="58" spans="1:7" x14ac:dyDescent="0.35">
      <c r="A58" s="3">
        <v>43</v>
      </c>
      <c r="B58" s="19">
        <f>'📈 Доходности'!I47</f>
        <v>-6.2943520220175939E-3</v>
      </c>
      <c r="D58" s="19">
        <f>'📈 Доходности'!C47</f>
        <v>-2.8310232969625298E-2</v>
      </c>
      <c r="E58" s="5">
        <f>TREND('📈 Доходности'!C6:C130,'📈 Доходности'!I6:I130,'📈 Доходности'!I47)</f>
        <v>-1.5586880118117524E-2</v>
      </c>
      <c r="F58" s="20">
        <f t="shared" si="2"/>
        <v>-1.2723352851507774E-2</v>
      </c>
      <c r="G58" s="21">
        <f t="shared" si="3"/>
        <v>1.6188370778397101E-4</v>
      </c>
    </row>
    <row r="59" spans="1:7" x14ac:dyDescent="0.35">
      <c r="A59" s="3">
        <v>44</v>
      </c>
      <c r="B59" s="19">
        <f>'📈 Доходности'!I48</f>
        <v>5.2707242494045943E-3</v>
      </c>
      <c r="D59" s="19">
        <f>'📈 Доходности'!C48</f>
        <v>2.048558421851281E-2</v>
      </c>
      <c r="E59" s="5">
        <f>TREND('📈 Доходности'!C6:C130,'📈 Доходности'!I6:I130,'📈 Доходности'!I48)</f>
        <v>4.3796587450853448E-3</v>
      </c>
      <c r="F59" s="20">
        <f t="shared" si="2"/>
        <v>1.6105925473427464E-2</v>
      </c>
      <c r="G59" s="21">
        <f t="shared" si="3"/>
        <v>2.5940083535559971E-4</v>
      </c>
    </row>
    <row r="60" spans="1:7" x14ac:dyDescent="0.35">
      <c r="A60" s="3">
        <v>45</v>
      </c>
      <c r="B60" s="19">
        <f>'📈 Доходности'!I49</f>
        <v>1.0672252892777755E-2</v>
      </c>
      <c r="D60" s="19">
        <f>'📈 Доходности'!C49</f>
        <v>2.6617100371747304E-2</v>
      </c>
      <c r="E60" s="5">
        <f>TREND('📈 Доходности'!C6:C130,'📈 Доходности'!I6:I130,'📈 Доходности'!I49)</f>
        <v>1.3705133912518121E-2</v>
      </c>
      <c r="F60" s="20">
        <f t="shared" si="2"/>
        <v>1.2911966459229183E-2</v>
      </c>
      <c r="G60" s="21">
        <f t="shared" si="3"/>
        <v>1.6671887784425941E-4</v>
      </c>
    </row>
    <row r="61" spans="1:7" x14ac:dyDescent="0.35">
      <c r="A61" s="3">
        <v>46</v>
      </c>
      <c r="B61" s="19">
        <f>'📈 Доходности'!I50</f>
        <v>3.2664551389543281E-5</v>
      </c>
      <c r="D61" s="19">
        <f>'📈 Доходности'!C50</f>
        <v>1.2311703360370716E-2</v>
      </c>
      <c r="E61" s="5">
        <f>TREND('📈 Доходности'!C6:C130,'📈 Доходности'!I6:I130,'📈 Доходности'!I50)</f>
        <v>-4.6635952788099061E-3</v>
      </c>
      <c r="F61" s="20">
        <f t="shared" si="2"/>
        <v>1.6975298639180621E-2</v>
      </c>
      <c r="G61" s="21">
        <f t="shared" si="3"/>
        <v>2.8816076388936743E-4</v>
      </c>
    </row>
    <row r="62" spans="1:7" x14ac:dyDescent="0.35">
      <c r="A62" s="3">
        <v>47</v>
      </c>
      <c r="B62" s="19">
        <f>'📈 Доходности'!I51</f>
        <v>-5.3375103001329889E-3</v>
      </c>
      <c r="D62" s="19">
        <f>'📈 Доходности'!C51</f>
        <v>-2.8330233223637202E-2</v>
      </c>
      <c r="E62" s="5">
        <f>TREND('📈 Доходности'!C6:C130,'📈 Доходности'!I6:I130,'📈 Доходности'!I51)</f>
        <v>-1.3934939657236019E-2</v>
      </c>
      <c r="F62" s="20">
        <f t="shared" si="2"/>
        <v>-1.4395293566401183E-2</v>
      </c>
      <c r="G62" s="21">
        <f t="shared" si="3"/>
        <v>2.0722447686287129E-4</v>
      </c>
    </row>
    <row r="63" spans="1:7" x14ac:dyDescent="0.35">
      <c r="A63" s="3">
        <v>48</v>
      </c>
      <c r="B63" s="19">
        <f>'📈 Доходности'!I52</f>
        <v>5.8273875272412401E-3</v>
      </c>
      <c r="D63" s="19">
        <f>'📈 Доходности'!C52</f>
        <v>2.3413341186865021E-2</v>
      </c>
      <c r="E63" s="5">
        <f>TREND('📈 Доходности'!C6:C130,'📈 Доходности'!I6:I130,'📈 Доходности'!I52)</f>
        <v>5.3407106836798222E-3</v>
      </c>
      <c r="F63" s="20">
        <f t="shared" si="2"/>
        <v>1.8072630503185198E-2</v>
      </c>
      <c r="G63" s="21">
        <f t="shared" si="3"/>
        <v>3.2661997330466006E-4</v>
      </c>
    </row>
    <row r="64" spans="1:7" x14ac:dyDescent="0.35">
      <c r="A64" s="3">
        <v>49</v>
      </c>
      <c r="B64" s="19">
        <f>'📈 Доходности'!I53</f>
        <v>7.9024225191587378E-3</v>
      </c>
      <c r="D64" s="19">
        <f>'📈 Доходности'!C53</f>
        <v>1.5827338129496321E-3</v>
      </c>
      <c r="E64" s="5">
        <f>TREND('📈 Доходности'!C6:C130,'📈 Доходности'!I6:I130,'📈 Доходности'!I53)</f>
        <v>8.9231571661993574E-3</v>
      </c>
      <c r="F64" s="20">
        <f t="shared" si="2"/>
        <v>-7.340423353249725E-3</v>
      </c>
      <c r="G64" s="21">
        <f t="shared" si="3"/>
        <v>5.3881815004933937E-5</v>
      </c>
    </row>
    <row r="65" spans="1:7" x14ac:dyDescent="0.35">
      <c r="A65" s="3">
        <v>50</v>
      </c>
      <c r="B65" s="19">
        <f>'📈 Доходности'!I54</f>
        <v>1.2290019126314696E-2</v>
      </c>
      <c r="D65" s="19">
        <f>'📈 Доходности'!C54</f>
        <v>6.8955609826174971E-3</v>
      </c>
      <c r="E65" s="5">
        <f>TREND('📈 Доходности'!C6:C130,'📈 Доходности'!I6:I130,'📈 Доходности'!I54)</f>
        <v>1.649812823572119E-2</v>
      </c>
      <c r="F65" s="20">
        <f t="shared" si="2"/>
        <v>-9.6025672531036936E-3</v>
      </c>
      <c r="G65" s="21">
        <f t="shared" si="3"/>
        <v>9.2209297850379422E-5</v>
      </c>
    </row>
    <row r="66" spans="1:7" x14ac:dyDescent="0.35">
      <c r="A66" s="3">
        <v>51</v>
      </c>
      <c r="B66" s="19">
        <f>'📈 Доходности'!I55</f>
        <v>2.287946753239266E-3</v>
      </c>
      <c r="D66" s="19">
        <f>'📈 Доходности'!C55</f>
        <v>3.9377942645170361E-2</v>
      </c>
      <c r="E66" s="5">
        <f>TREND('📈 Доходности'!C6:C130,'📈 Доходности'!I6:I130,'📈 Доходности'!I55)</f>
        <v>-7.699607991140155E-4</v>
      </c>
      <c r="F66" s="20">
        <f t="shared" si="2"/>
        <v>4.0147903444284379E-2</v>
      </c>
      <c r="G66" s="21">
        <f t="shared" si="3"/>
        <v>1.6118541509715814E-3</v>
      </c>
    </row>
    <row r="67" spans="1:7" x14ac:dyDescent="0.35">
      <c r="A67" s="3">
        <v>52</v>
      </c>
      <c r="B67" s="19">
        <f>'📈 Доходности'!I56</f>
        <v>-4.3535740666326396E-5</v>
      </c>
      <c r="D67" s="19">
        <f>'📈 Доходности'!C56</f>
        <v>-4.5710363761153033E-2</v>
      </c>
      <c r="E67" s="5">
        <f>TREND('📈 Доходности'!C6:C130,'📈 Доходности'!I6:I130,'📈 Доходности'!I56)</f>
        <v>-4.7951513582523315E-3</v>
      </c>
      <c r="F67" s="20">
        <f t="shared" si="2"/>
        <v>-4.0915212402900705E-2</v>
      </c>
      <c r="G67" s="21">
        <f t="shared" si="3"/>
        <v>1.6740546059744797E-3</v>
      </c>
    </row>
    <row r="68" spans="1:7" x14ac:dyDescent="0.35">
      <c r="A68" s="3">
        <v>53</v>
      </c>
      <c r="B68" s="19">
        <f>'📈 Доходности'!I57</f>
        <v>-9.9048122149191873E-3</v>
      </c>
      <c r="D68" s="19">
        <f>'📈 Доходности'!C57</f>
        <v>-2.5172612197928657E-2</v>
      </c>
      <c r="E68" s="5">
        <f>TREND('📈 Доходности'!C6:C130,'📈 Доходности'!I6:I130,'📈 Доходности'!I57)</f>
        <v>-2.182016315609888E-2</v>
      </c>
      <c r="F68" s="20">
        <f t="shared" si="2"/>
        <v>-3.3524490418297762E-3</v>
      </c>
      <c r="G68" s="21">
        <f t="shared" si="3"/>
        <v>1.1238914578065384E-5</v>
      </c>
    </row>
    <row r="69" spans="1:7" x14ac:dyDescent="0.35">
      <c r="A69" s="3">
        <v>54</v>
      </c>
      <c r="B69" s="19">
        <f>'📈 Доходности'!I58</f>
        <v>2.6178701149458502E-3</v>
      </c>
      <c r="D69" s="19">
        <f>'📈 Доходности'!C58</f>
        <v>1.9772760808617434E-2</v>
      </c>
      <c r="E69" s="5">
        <f>TREND('📈 Доходности'!C6:C130,'📈 Доходности'!I6:I130,'📈 Доходности'!I58)</f>
        <v>-2.0036424230869022E-4</v>
      </c>
      <c r="F69" s="20">
        <f t="shared" si="2"/>
        <v>1.9973125050926126E-2</v>
      </c>
      <c r="G69" s="21">
        <f t="shared" si="3"/>
        <v>3.9892572429993275E-4</v>
      </c>
    </row>
    <row r="70" spans="1:7" x14ac:dyDescent="0.35">
      <c r="A70" s="3">
        <v>55</v>
      </c>
      <c r="B70" s="19">
        <f>'📈 Доходности'!I59</f>
        <v>1.7207099207626148E-3</v>
      </c>
      <c r="D70" s="19">
        <f>'📈 Доходности'!C59</f>
        <v>-1.345680798726657E-2</v>
      </c>
      <c r="E70" s="5">
        <f>TREND('📈 Доходности'!C6:C130,'📈 Доходности'!I6:I130,'📈 Доходности'!I59)</f>
        <v>-1.7492674629422163E-3</v>
      </c>
      <c r="F70" s="20">
        <f t="shared" si="2"/>
        <v>-1.1707540524324354E-2</v>
      </c>
      <c r="G70" s="21">
        <f t="shared" si="3"/>
        <v>1.3706650512869696E-4</v>
      </c>
    </row>
    <row r="71" spans="1:7" x14ac:dyDescent="0.35">
      <c r="A71" s="3">
        <v>56</v>
      </c>
      <c r="B71" s="19">
        <f>'📈 Доходности'!I60</f>
        <v>-1.1736770592982759E-2</v>
      </c>
      <c r="D71" s="19">
        <f>'📈 Доходности'!C60</f>
        <v>-3.3000880023467287E-2</v>
      </c>
      <c r="E71" s="5">
        <f>TREND('📈 Доходности'!C6:C130,'📈 Доходности'!I6:I130,'📈 Доходности'!I60)</f>
        <v>-2.4982949746772901E-2</v>
      </c>
      <c r="F71" s="20">
        <f t="shared" si="2"/>
        <v>-8.0179302766943857E-3</v>
      </c>
      <c r="G71" s="21">
        <f t="shared" si="3"/>
        <v>6.4287205921932503E-5</v>
      </c>
    </row>
    <row r="72" spans="1:7" x14ac:dyDescent="0.35">
      <c r="A72" s="3">
        <v>57</v>
      </c>
      <c r="B72" s="19">
        <f>'📈 Доходности'!I61</f>
        <v>3.6535209811638077E-3</v>
      </c>
      <c r="D72" s="19">
        <f>'📈 Доходности'!C61</f>
        <v>2.9880175944183206E-2</v>
      </c>
      <c r="E72" s="5">
        <f>TREND('📈 Доходности'!C6:C130,'📈 Доходности'!I6:I130,'📈 Доходности'!I61)</f>
        <v>1.5876363539474459E-3</v>
      </c>
      <c r="F72" s="20">
        <f t="shared" si="2"/>
        <v>2.8292539590235762E-2</v>
      </c>
      <c r="G72" s="21">
        <f t="shared" si="3"/>
        <v>8.0046779646505799E-4</v>
      </c>
    </row>
    <row r="73" spans="1:7" x14ac:dyDescent="0.35">
      <c r="A73" s="3">
        <v>58</v>
      </c>
      <c r="B73" s="19">
        <f>'📈 Доходности'!I62</f>
        <v>-1.1178157494750851E-2</v>
      </c>
      <c r="D73" s="19">
        <f>'📈 Доходности'!C62</f>
        <v>-2.6362297496318205E-2</v>
      </c>
      <c r="E73" s="5">
        <f>TREND('📈 Доходности'!C6:C130,'📈 Доходности'!I6:I130,'📈 Доходности'!I62)</f>
        <v>-2.4018531538576339E-2</v>
      </c>
      <c r="F73" s="20">
        <f t="shared" si="2"/>
        <v>-2.3437659577418661E-3</v>
      </c>
      <c r="G73" s="21">
        <f t="shared" si="3"/>
        <v>5.493238864669647E-6</v>
      </c>
    </row>
    <row r="74" spans="1:7" x14ac:dyDescent="0.35">
      <c r="A74" s="3">
        <v>59</v>
      </c>
      <c r="B74" s="19">
        <f>'📈 Доходности'!I63</f>
        <v>1.2618446740632102E-3</v>
      </c>
      <c r="D74" s="19">
        <f>'📈 Доходности'!C63</f>
        <v>-6.0505218575111557E-4</v>
      </c>
      <c r="E74" s="5">
        <f>TREND('📈 Доходности'!C6:C130,'📈 Доходности'!I6:I130,'📈 Доходности'!I63)</f>
        <v>-2.5414758813022765E-3</v>
      </c>
      <c r="F74" s="20">
        <f t="shared" si="2"/>
        <v>1.936423695551161E-3</v>
      </c>
      <c r="G74" s="21">
        <f t="shared" si="3"/>
        <v>3.7497367286920154E-6</v>
      </c>
    </row>
    <row r="75" spans="1:7" x14ac:dyDescent="0.35">
      <c r="A75" s="3">
        <v>60</v>
      </c>
      <c r="B75" s="19">
        <f>'📈 Доходности'!I64</f>
        <v>1.5400963024610645E-2</v>
      </c>
      <c r="D75" s="19">
        <f>'📈 Доходности'!C64</f>
        <v>4.5406387165129622E-4</v>
      </c>
      <c r="E75" s="5">
        <f>TREND('📈 Доходности'!C6:C130,'📈 Доходности'!I6:I130,'📈 Доходности'!I64)</f>
        <v>2.1869020808220539E-2</v>
      </c>
      <c r="F75" s="20">
        <f t="shared" si="2"/>
        <v>-2.1414956936569241E-2</v>
      </c>
      <c r="G75" s="21">
        <f t="shared" si="3"/>
        <v>4.5860038059511508E-4</v>
      </c>
    </row>
    <row r="76" spans="1:7" x14ac:dyDescent="0.35">
      <c r="A76" s="3">
        <v>61</v>
      </c>
      <c r="B76" s="19">
        <f>'📈 Доходности'!I65</f>
        <v>2.0753963084875191E-3</v>
      </c>
      <c r="D76" s="19">
        <f>'📈 Доходности'!C65</f>
        <v>1.7246596066565818E-2</v>
      </c>
      <c r="E76" s="5">
        <f>TREND('📈 Доходности'!C6:C130,'📈 Доходности'!I6:I130,'📈 Доходности'!I65)</f>
        <v>-1.1369187521725406E-3</v>
      </c>
      <c r="F76" s="20">
        <f t="shared" si="2"/>
        <v>1.8383514818738358E-2</v>
      </c>
      <c r="G76" s="21">
        <f t="shared" si="3"/>
        <v>3.3795361709077284E-4</v>
      </c>
    </row>
    <row r="77" spans="1:7" x14ac:dyDescent="0.35">
      <c r="A77" s="3">
        <v>62</v>
      </c>
      <c r="B77" s="19">
        <f>'📈 Доходности'!I66</f>
        <v>6.2950861813370414E-4</v>
      </c>
      <c r="D77" s="19">
        <f>'📈 Доходности'!C66</f>
        <v>-2.8256989886971703E-3</v>
      </c>
      <c r="E77" s="5">
        <f>TREND('📈 Доходности'!C6:C130,'📈 Доходности'!I6:I130,'📈 Доходности'!I66)</f>
        <v>-3.633173172267769E-3</v>
      </c>
      <c r="F77" s="20">
        <f t="shared" si="2"/>
        <v>8.0747418357059869E-4</v>
      </c>
      <c r="G77" s="21">
        <f t="shared" si="3"/>
        <v>6.5201455713300496E-7</v>
      </c>
    </row>
    <row r="78" spans="1:7" x14ac:dyDescent="0.35">
      <c r="A78" s="3">
        <v>63</v>
      </c>
      <c r="B78" s="19">
        <f>'📈 Доходности'!I67</f>
        <v>-1.6556900387101336E-2</v>
      </c>
      <c r="D78" s="19">
        <f>'📈 Доходности'!C67</f>
        <v>-2.7889634601043854E-2</v>
      </c>
      <c r="E78" s="5">
        <f>TREND('📈 Доходности'!C6:C130,'📈 Доходности'!I6:I130,'📈 Доходности'!I67)</f>
        <v>-3.3304668220672386E-2</v>
      </c>
      <c r="F78" s="20">
        <f t="shared" si="2"/>
        <v>5.4150336196285322E-3</v>
      </c>
      <c r="G78" s="21">
        <f t="shared" si="3"/>
        <v>2.9322589101707284E-5</v>
      </c>
    </row>
    <row r="79" spans="1:7" x14ac:dyDescent="0.35">
      <c r="A79" s="3">
        <v>64</v>
      </c>
      <c r="B79" s="19">
        <f>'📈 Доходности'!I68</f>
        <v>-5.0167050340707141E-4</v>
      </c>
      <c r="D79" s="19">
        <f>'📈 Доходности'!C68</f>
        <v>-3.8508745013807993E-2</v>
      </c>
      <c r="E79" s="5">
        <f>TREND('📈 Доходности'!C6:C130,'📈 Доходности'!I6:I130,'📈 Доходности'!I68)</f>
        <v>-5.5860986317649896E-3</v>
      </c>
      <c r="F79" s="20">
        <f t="shared" si="2"/>
        <v>-3.2922646382043001E-2</v>
      </c>
      <c r="G79" s="21">
        <f t="shared" si="3"/>
        <v>1.0839006447970491E-3</v>
      </c>
    </row>
    <row r="80" spans="1:7" x14ac:dyDescent="0.35">
      <c r="A80" s="3">
        <v>65</v>
      </c>
      <c r="B80" s="19">
        <f>'📈 Доходности'!I69</f>
        <v>-9.1623094959838534E-3</v>
      </c>
      <c r="D80" s="19">
        <f>'📈 Доходности'!C69</f>
        <v>-1.468007020903146E-2</v>
      </c>
      <c r="E80" s="5">
        <f>TREND('📈 Доходности'!C6:C130,'📈 Доходности'!I6:I130,'📈 Доходности'!I69)</f>
        <v>-2.0538268506576345E-2</v>
      </c>
      <c r="F80" s="20">
        <f t="shared" si="2"/>
        <v>5.8581982975448848E-3</v>
      </c>
      <c r="G80" s="21">
        <f t="shared" si="3"/>
        <v>3.4318487293357784E-5</v>
      </c>
    </row>
    <row r="81" spans="1:7" x14ac:dyDescent="0.35">
      <c r="A81" s="3">
        <v>66</v>
      </c>
      <c r="B81" s="19">
        <f>'📈 Доходности'!I70</f>
        <v>-8.2563871224939928E-3</v>
      </c>
      <c r="D81" s="19">
        <f>'📈 Доходности'!C70</f>
        <v>-1.9271255060728708E-2</v>
      </c>
      <c r="E81" s="5">
        <f>TREND('📈 Доходности'!C6:C130,'📈 Доходности'!I6:I130,'📈 Доходности'!I70)</f>
        <v>-1.8974237811679253E-2</v>
      </c>
      <c r="F81" s="20">
        <f t="shared" ref="F81:F112" si="4">D81-E81</f>
        <v>-2.9701724904945478E-4</v>
      </c>
      <c r="G81" s="21">
        <f t="shared" ref="G81:G112" si="5">F81^2</f>
        <v>8.8219246232905853E-8</v>
      </c>
    </row>
    <row r="82" spans="1:7" x14ac:dyDescent="0.35">
      <c r="A82" s="3">
        <v>67</v>
      </c>
      <c r="B82" s="19">
        <f>'📈 Доходности'!I71</f>
        <v>3.753785520422187E-3</v>
      </c>
      <c r="D82" s="19">
        <f>'📈 Доходности'!C71</f>
        <v>-7.4306472919419223E-3</v>
      </c>
      <c r="E82" s="5">
        <f>TREND('📈 Доходности'!C6:C130,'📈 Доходности'!I6:I130,'📈 Доходности'!I71)</f>
        <v>1.7607381798861507E-3</v>
      </c>
      <c r="F82" s="20">
        <f t="shared" si="4"/>
        <v>-9.191385471828073E-3</v>
      </c>
      <c r="G82" s="21">
        <f t="shared" si="5"/>
        <v>8.4481566891732172E-5</v>
      </c>
    </row>
    <row r="83" spans="1:7" x14ac:dyDescent="0.35">
      <c r="A83" s="3">
        <v>68</v>
      </c>
      <c r="B83" s="19">
        <f>'📈 Доходности'!I72</f>
        <v>-1.5567225119539372E-2</v>
      </c>
      <c r="D83" s="19">
        <f>'📈 Доходности'!C72</f>
        <v>-3.3438695724505044E-2</v>
      </c>
      <c r="E83" s="5">
        <f>TREND('📈 Доходности'!C6:C130,'📈 Доходности'!I6:I130,'📈 Доходности'!I72)</f>
        <v>-3.1596042248135094E-2</v>
      </c>
      <c r="F83" s="20">
        <f t="shared" si="4"/>
        <v>-1.8426534763699501E-3</v>
      </c>
      <c r="G83" s="21">
        <f t="shared" si="5"/>
        <v>3.395371833978262E-6</v>
      </c>
    </row>
    <row r="84" spans="1:7" x14ac:dyDescent="0.35">
      <c r="A84" s="3">
        <v>69</v>
      </c>
      <c r="B84" s="19">
        <f>'📈 Доходности'!I73</f>
        <v>9.8229633753188009E-3</v>
      </c>
      <c r="D84" s="19">
        <f>'📈 Доходности'!C73</f>
        <v>4.2512908777968997E-2</v>
      </c>
      <c r="E84" s="5">
        <f>TREND('📈 Доходности'!C6:C130,'📈 Доходности'!I6:I130,'📈 Доходности'!I73)</f>
        <v>1.2238877075253899E-2</v>
      </c>
      <c r="F84" s="20">
        <f t="shared" si="4"/>
        <v>3.0274031702715098E-2</v>
      </c>
      <c r="G84" s="21">
        <f t="shared" si="5"/>
        <v>9.1651699553699879E-4</v>
      </c>
    </row>
    <row r="85" spans="1:7" x14ac:dyDescent="0.35">
      <c r="A85" s="3">
        <v>70</v>
      </c>
      <c r="B85" s="19">
        <f>'📈 Доходности'!I74</f>
        <v>1.546723529794837E-2</v>
      </c>
      <c r="D85" s="19">
        <f>'📈 Доходности'!C74</f>
        <v>-1.6509823344886926E-4</v>
      </c>
      <c r="E85" s="5">
        <f>TREND('📈 Доходности'!C6:C130,'📈 Доходности'!I6:I130,'📈 Доходности'!I74)</f>
        <v>2.1983436648643506E-2</v>
      </c>
      <c r="F85" s="20">
        <f t="shared" si="4"/>
        <v>-2.2148534882092376E-2</v>
      </c>
      <c r="G85" s="21">
        <f t="shared" si="5"/>
        <v>4.9055759742326274E-4</v>
      </c>
    </row>
    <row r="86" spans="1:7" x14ac:dyDescent="0.35">
      <c r="A86" s="3">
        <v>71</v>
      </c>
      <c r="B86" s="19">
        <f>'📈 Доходности'!I75</f>
        <v>9.0617319302264861E-3</v>
      </c>
      <c r="D86" s="19">
        <f>'📈 Доходности'!C75</f>
        <v>1.0898282694848029E-2</v>
      </c>
      <c r="E86" s="5">
        <f>TREND('📈 Доходности'!C6:C130,'📈 Доходности'!I6:I130,'📈 Доходности'!I75)</f>
        <v>1.0924648195511397E-2</v>
      </c>
      <c r="F86" s="20">
        <f t="shared" si="4"/>
        <v>-2.6365500663368818E-5</v>
      </c>
      <c r="G86" s="21">
        <f t="shared" si="5"/>
        <v>6.9513962523010161E-10</v>
      </c>
    </row>
    <row r="87" spans="1:7" x14ac:dyDescent="0.35">
      <c r="A87" s="3">
        <v>72</v>
      </c>
      <c r="B87" s="19">
        <f>'📈 Доходности'!I76</f>
        <v>6.9067142781130556E-3</v>
      </c>
      <c r="D87" s="19">
        <f>'📈 Доходности'!C76</f>
        <v>9.9640640313622911E-3</v>
      </c>
      <c r="E87" s="5">
        <f>TREND('📈 Доходности'!C6:C130,'📈 Доходности'!I6:I130,'📈 Доходности'!I76)</f>
        <v>7.2041155598438151E-3</v>
      </c>
      <c r="F87" s="20">
        <f t="shared" si="4"/>
        <v>2.7599484715184761E-3</v>
      </c>
      <c r="G87" s="21">
        <f t="shared" si="5"/>
        <v>7.6173155654371727E-6</v>
      </c>
    </row>
    <row r="88" spans="1:7" x14ac:dyDescent="0.35">
      <c r="A88" s="3">
        <v>73</v>
      </c>
      <c r="B88" s="19">
        <f>'📈 Доходности'!I77</f>
        <v>5.3547759228842508E-3</v>
      </c>
      <c r="D88" s="19">
        <f>'📈 Доходности'!C77</f>
        <v>1.3909105612162373E-2</v>
      </c>
      <c r="E88" s="5">
        <f>TREND('📈 Доходности'!C6:C130,'📈 Доходности'!I6:I130,'📈 Доходности'!I77)</f>
        <v>4.5247698507678699E-3</v>
      </c>
      <c r="F88" s="20">
        <f t="shared" si="4"/>
        <v>9.3843357613945036E-3</v>
      </c>
      <c r="G88" s="21">
        <f t="shared" si="5"/>
        <v>8.8065757682587764E-5</v>
      </c>
    </row>
    <row r="89" spans="1:7" x14ac:dyDescent="0.35">
      <c r="A89" s="3">
        <v>74</v>
      </c>
      <c r="B89" s="19">
        <f>'📈 Доходности'!I78</f>
        <v>-5.3233349247856334E-3</v>
      </c>
      <c r="D89" s="19">
        <f>'📈 Доходности'!C78</f>
        <v>-1.7546658159195954E-3</v>
      </c>
      <c r="E89" s="5">
        <f>TREND('📈 Доходности'!C6:C130,'📈 Доходности'!I6:I130,'📈 Доходности'!I78)</f>
        <v>-1.3910466564613807E-2</v>
      </c>
      <c r="F89" s="20">
        <f t="shared" si="4"/>
        <v>1.2155800748694212E-2</v>
      </c>
      <c r="G89" s="21">
        <f t="shared" si="5"/>
        <v>1.4776349184195478E-4</v>
      </c>
    </row>
    <row r="90" spans="1:7" x14ac:dyDescent="0.35">
      <c r="A90" s="3">
        <v>75</v>
      </c>
      <c r="B90" s="19">
        <f>'📈 Доходности'!I79</f>
        <v>2.4572008167183276E-3</v>
      </c>
      <c r="D90" s="19">
        <f>'📈 Доходности'!C79</f>
        <v>5.1134547778843124E-3</v>
      </c>
      <c r="E90" s="5">
        <f>TREND('📈 Доходности'!C6:C130,'📈 Доходности'!I6:I130,'📈 Доходности'!I79)</f>
        <v>-4.7775193192648325E-4</v>
      </c>
      <c r="F90" s="20">
        <f t="shared" si="4"/>
        <v>5.5912067098107957E-3</v>
      </c>
      <c r="G90" s="21">
        <f t="shared" si="5"/>
        <v>3.1261592471833263E-5</v>
      </c>
    </row>
    <row r="91" spans="1:7" x14ac:dyDescent="0.35">
      <c r="A91" s="3">
        <v>76</v>
      </c>
      <c r="B91" s="19">
        <f>'📈 Доходности'!I80</f>
        <v>2.9797770511775412E-3</v>
      </c>
      <c r="D91" s="19">
        <f>'📈 Доходности'!C80</f>
        <v>-2.6391096979332219E-2</v>
      </c>
      <c r="E91" s="5">
        <f>TREND('📈 Доходности'!C6:C130,'📈 Доходности'!I6:I130,'📈 Доходности'!I80)</f>
        <v>4.2445039250600409E-4</v>
      </c>
      <c r="F91" s="20">
        <f t="shared" si="4"/>
        <v>-2.6815547371838222E-2</v>
      </c>
      <c r="G91" s="21">
        <f t="shared" si="5"/>
        <v>7.1907358085129976E-4</v>
      </c>
    </row>
    <row r="92" spans="1:7" x14ac:dyDescent="0.35">
      <c r="A92" s="3">
        <v>77</v>
      </c>
      <c r="B92" s="19">
        <f>'📈 Доходности'!I81</f>
        <v>1.08033613052791E-3</v>
      </c>
      <c r="D92" s="19">
        <f>'📈 Доходности'!C81</f>
        <v>8.0013063357281984E-3</v>
      </c>
      <c r="E92" s="5">
        <f>TREND('📈 Доходности'!C6:C130,'📈 Доходности'!I6:I130,'📈 Доходности'!I81)</f>
        <v>-2.8548415092883384E-3</v>
      </c>
      <c r="F92" s="20">
        <f t="shared" si="4"/>
        <v>1.0856147845016536E-2</v>
      </c>
      <c r="G92" s="21">
        <f t="shared" si="5"/>
        <v>1.1785594603285717E-4</v>
      </c>
    </row>
    <row r="93" spans="1:7" x14ac:dyDescent="0.35">
      <c r="A93" s="3">
        <v>78</v>
      </c>
      <c r="B93" s="19">
        <f>'📈 Доходности'!I82</f>
        <v>1.9366731222437037E-3</v>
      </c>
      <c r="D93" s="19">
        <f>'📈 Доходности'!C82</f>
        <v>8.9097683460230732E-3</v>
      </c>
      <c r="E93" s="5">
        <f>TREND('📈 Доходности'!C6:C130,'📈 Доходности'!I6:I130,'📈 Доходности'!I82)</f>
        <v>-1.376417552211484E-3</v>
      </c>
      <c r="F93" s="20">
        <f t="shared" si="4"/>
        <v>1.0286185898234558E-2</v>
      </c>
      <c r="G93" s="21">
        <f t="shared" si="5"/>
        <v>1.0580562033303947E-4</v>
      </c>
    </row>
    <row r="94" spans="1:7" x14ac:dyDescent="0.35">
      <c r="A94" s="3">
        <v>79</v>
      </c>
      <c r="B94" s="19">
        <f>'📈 Доходности'!I83</f>
        <v>-3.4772356776897151E-3</v>
      </c>
      <c r="D94" s="19">
        <f>'📈 Доходности'!C83</f>
        <v>-1.8625561978163192E-2</v>
      </c>
      <c r="E94" s="5">
        <f>TREND('📈 Доходности'!C6:C130,'📈 Доходности'!I6:I130,'📈 Доходности'!I83)</f>
        <v>-1.0723266454783713E-2</v>
      </c>
      <c r="F94" s="20">
        <f t="shared" si="4"/>
        <v>-7.9022955233794788E-3</v>
      </c>
      <c r="G94" s="21">
        <f t="shared" si="5"/>
        <v>6.2446274538823348E-5</v>
      </c>
    </row>
    <row r="95" spans="1:7" x14ac:dyDescent="0.35">
      <c r="A95" s="3">
        <v>80</v>
      </c>
      <c r="B95" s="19">
        <f>'📈 Доходности'!I84</f>
        <v>-8.7635890402555454E-4</v>
      </c>
      <c r="D95" s="19">
        <f>'📈 Доходности'!C84</f>
        <v>-5.56282722513083E-3</v>
      </c>
      <c r="E95" s="5">
        <f>TREND('📈 Доходности'!C6:C130,'📈 Доходности'!I6:I130,'📈 Доходности'!I84)</f>
        <v>-6.2329798400650779E-3</v>
      </c>
      <c r="F95" s="20">
        <f t="shared" si="4"/>
        <v>6.7015261493424787E-4</v>
      </c>
      <c r="G95" s="21">
        <f t="shared" si="5"/>
        <v>4.4910452730321029E-7</v>
      </c>
    </row>
    <row r="96" spans="1:7" x14ac:dyDescent="0.35">
      <c r="A96" s="3">
        <v>81</v>
      </c>
      <c r="B96" s="19">
        <f>'📈 Доходности'!I85</f>
        <v>6.749496748049498E-3</v>
      </c>
      <c r="D96" s="19">
        <f>'📈 Доходности'!C85</f>
        <v>6.252056597564914E-3</v>
      </c>
      <c r="E96" s="5">
        <f>TREND('📈 Доходности'!C6:C130,'📈 Доходности'!I6:I130,'📈 Доходности'!I85)</f>
        <v>6.9326871792331638E-3</v>
      </c>
      <c r="F96" s="20">
        <f t="shared" si="4"/>
        <v>-6.806305816682498E-4</v>
      </c>
      <c r="G96" s="21">
        <f t="shared" si="5"/>
        <v>4.6325798870206007E-7</v>
      </c>
    </row>
    <row r="97" spans="1:7" x14ac:dyDescent="0.35">
      <c r="A97" s="3">
        <v>82</v>
      </c>
      <c r="B97" s="19">
        <f>'📈 Доходности'!I86</f>
        <v>2.0793764194066964E-3</v>
      </c>
      <c r="D97" s="19">
        <f>'📈 Доходности'!C86</f>
        <v>8.6657946370176774E-3</v>
      </c>
      <c r="E97" s="5">
        <f>TREND('📈 Доходности'!C6:C130,'📈 Доходности'!I6:I130,'📈 Доходности'!I86)</f>
        <v>-1.1300472852247626E-3</v>
      </c>
      <c r="F97" s="20">
        <f t="shared" si="4"/>
        <v>9.79584192224244E-3</v>
      </c>
      <c r="G97" s="21">
        <f t="shared" si="5"/>
        <v>9.5958518965562464E-5</v>
      </c>
    </row>
    <row r="98" spans="1:7" x14ac:dyDescent="0.35">
      <c r="A98" s="3">
        <v>83</v>
      </c>
      <c r="B98" s="19">
        <f>'📈 Доходности'!I87</f>
        <v>-1.0663671931604137E-2</v>
      </c>
      <c r="D98" s="19">
        <f>'📈 Доходности'!C87</f>
        <v>-4.863024801426672E-4</v>
      </c>
      <c r="E98" s="5">
        <f>TREND('📈 Доходности'!C6:C130,'📈 Доходности'!I6:I130,'📈 Доходности'!I87)</f>
        <v>-2.3130297362679939E-2</v>
      </c>
      <c r="F98" s="20">
        <f t="shared" si="4"/>
        <v>2.2643994882537273E-2</v>
      </c>
      <c r="G98" s="21">
        <f t="shared" si="5"/>
        <v>5.1275050424037425E-4</v>
      </c>
    </row>
    <row r="99" spans="1:7" x14ac:dyDescent="0.35">
      <c r="A99" s="3">
        <v>84</v>
      </c>
      <c r="B99" s="19">
        <f>'📈 Доходности'!I88</f>
        <v>-1.5965058492165604E-3</v>
      </c>
      <c r="D99" s="19">
        <f>'📈 Доходности'!C88</f>
        <v>-1.4920531949399848E-2</v>
      </c>
      <c r="E99" s="5">
        <f>TREND('📈 Доходности'!C6:C130,'📈 Доходности'!I6:I130,'📈 Доходности'!I88)</f>
        <v>-7.4762783390039736E-3</v>
      </c>
      <c r="F99" s="20">
        <f t="shared" si="4"/>
        <v>-7.4442536103958741E-3</v>
      </c>
      <c r="G99" s="21">
        <f t="shared" si="5"/>
        <v>5.5416911815892009E-5</v>
      </c>
    </row>
    <row r="100" spans="1:7" x14ac:dyDescent="0.35">
      <c r="A100" s="3">
        <v>85</v>
      </c>
      <c r="B100" s="19">
        <f>'📈 Доходности'!I89</f>
        <v>-2.3839178699950562E-3</v>
      </c>
      <c r="D100" s="19">
        <f>'📈 Доходности'!C89</f>
        <v>9.7135330918669133E-3</v>
      </c>
      <c r="E100" s="5">
        <f>TREND('📈 Доходности'!C6:C130,'📈 Доходности'!I6:I130,'📈 Доходности'!I89)</f>
        <v>-8.8357067029202953E-3</v>
      </c>
      <c r="F100" s="20">
        <f t="shared" si="4"/>
        <v>1.854923979478721E-2</v>
      </c>
      <c r="G100" s="21">
        <f t="shared" si="5"/>
        <v>3.4407429696451747E-4</v>
      </c>
    </row>
    <row r="101" spans="1:7" x14ac:dyDescent="0.35">
      <c r="A101" s="3">
        <v>86</v>
      </c>
      <c r="B101" s="19">
        <f>'📈 Доходности'!I90</f>
        <v>-1.1592203827500702E-2</v>
      </c>
      <c r="D101" s="19">
        <f>'📈 Доходности'!C90</f>
        <v>-1.8751019077123735E-2</v>
      </c>
      <c r="E101" s="5">
        <f>TREND('📈 Доходности'!C6:C130,'📈 Доходности'!I6:I130,'📈 Доходности'!I90)</f>
        <v>-2.4733362292822622E-2</v>
      </c>
      <c r="F101" s="20">
        <f t="shared" si="4"/>
        <v>5.9823432156988869E-3</v>
      </c>
      <c r="G101" s="21">
        <f t="shared" si="5"/>
        <v>3.5788430350418499E-5</v>
      </c>
    </row>
    <row r="102" spans="1:7" x14ac:dyDescent="0.35">
      <c r="A102" s="3">
        <v>87</v>
      </c>
      <c r="B102" s="19">
        <f>'📈 Доходности'!I91</f>
        <v>7.9343234996124227E-3</v>
      </c>
      <c r="D102" s="19">
        <f>'📈 Доходности'!C91</f>
        <v>-1.2296444001329378E-2</v>
      </c>
      <c r="E102" s="5">
        <f>TREND('📈 Доходности'!C6:C130,'📈 Доходности'!I6:I130,'📈 Доходности'!I91)</f>
        <v>8.9782326495817487E-3</v>
      </c>
      <c r="F102" s="20">
        <f t="shared" si="4"/>
        <v>-2.1274676650911126E-2</v>
      </c>
      <c r="G102" s="21">
        <f t="shared" si="5"/>
        <v>4.5261186660082306E-4</v>
      </c>
    </row>
    <row r="103" spans="1:7" x14ac:dyDescent="0.35">
      <c r="A103" s="3">
        <v>88</v>
      </c>
      <c r="B103" s="19">
        <f>'📈 Доходности'!I92</f>
        <v>8.818024549947125E-3</v>
      </c>
      <c r="D103" s="19">
        <f>'📈 Доходности'!C92</f>
        <v>6.2247644683715436E-3</v>
      </c>
      <c r="E103" s="5">
        <f>TREND('📈 Доходности'!C6:C130,'📈 Доходности'!I6:I130,'📈 Доходности'!I92)</f>
        <v>1.050389931626524E-2</v>
      </c>
      <c r="F103" s="20">
        <f t="shared" si="4"/>
        <v>-4.2791348478936966E-3</v>
      </c>
      <c r="G103" s="21">
        <f t="shared" si="5"/>
        <v>1.831099504645821E-5</v>
      </c>
    </row>
    <row r="104" spans="1:7" x14ac:dyDescent="0.35">
      <c r="A104" s="3">
        <v>89</v>
      </c>
      <c r="B104" s="19">
        <f>'📈 Доходности'!I93</f>
        <v>6.4364620674518666E-3</v>
      </c>
      <c r="D104" s="19">
        <f>'📈 Доходности'!C93</f>
        <v>8.3598060524991068E-4</v>
      </c>
      <c r="E104" s="5">
        <f>TREND('📈 Доходности'!C6:C130,'📈 Доходности'!I6:I130,'📈 Доходности'!I93)</f>
        <v>6.392248104816727E-3</v>
      </c>
      <c r="F104" s="20">
        <f t="shared" si="4"/>
        <v>-5.556267499566816E-3</v>
      </c>
      <c r="G104" s="21">
        <f t="shared" si="5"/>
        <v>3.0872108526742475E-5</v>
      </c>
    </row>
    <row r="105" spans="1:7" x14ac:dyDescent="0.35">
      <c r="A105" s="3">
        <v>90</v>
      </c>
      <c r="B105" s="19">
        <f>'📈 Доходности'!I94</f>
        <v>4.550417315428267E-3</v>
      </c>
      <c r="D105" s="19">
        <f>'📈 Доходности'!C94</f>
        <v>-7.5175409288339937E-3</v>
      </c>
      <c r="E105" s="5">
        <f>TREND('📈 Доходности'!C6:C130,'📈 Доходности'!I6:I130,'📈 Доходности'!I94)</f>
        <v>3.1360840333290998E-3</v>
      </c>
      <c r="F105" s="20">
        <f t="shared" si="4"/>
        <v>-1.0653624962163093E-2</v>
      </c>
      <c r="G105" s="21">
        <f t="shared" si="5"/>
        <v>1.1349972483442456E-4</v>
      </c>
    </row>
    <row r="106" spans="1:7" x14ac:dyDescent="0.35">
      <c r="A106" s="3">
        <v>91</v>
      </c>
      <c r="B106" s="19">
        <f>'📈 Доходности'!I95</f>
        <v>3.2215161386959976E-3</v>
      </c>
      <c r="D106" s="19">
        <f>'📈 Доходности'!C95</f>
        <v>1.0604275374516118E-2</v>
      </c>
      <c r="E106" s="5">
        <f>TREND('📈 Доходности'!C6:C130,'📈 Доходности'!I6:I130,'📈 Доходности'!I95)</f>
        <v>8.4180111051375579E-4</v>
      </c>
      <c r="F106" s="20">
        <f t="shared" si="4"/>
        <v>9.7624742640023618E-3</v>
      </c>
      <c r="G106" s="21">
        <f t="shared" si="5"/>
        <v>9.5305903755308461E-5</v>
      </c>
    </row>
    <row r="107" spans="1:7" x14ac:dyDescent="0.35">
      <c r="A107" s="3">
        <v>92</v>
      </c>
      <c r="B107" s="19">
        <f>'📈 Доходности'!I96</f>
        <v>-3.0438326324832942E-4</v>
      </c>
      <c r="D107" s="19">
        <f>'📈 Доходности'!C96</f>
        <v>-1.1658894070619634E-3</v>
      </c>
      <c r="E107" s="5">
        <f>TREND('📈 Доходности'!C6:C130,'📈 Доходности'!I6:I130,'📈 Доходности'!I96)</f>
        <v>-5.2454918553464583E-3</v>
      </c>
      <c r="F107" s="20">
        <f t="shared" si="4"/>
        <v>4.0796024482844945E-3</v>
      </c>
      <c r="G107" s="21">
        <f t="shared" si="5"/>
        <v>1.6643156136048843E-5</v>
      </c>
    </row>
    <row r="108" spans="1:7" x14ac:dyDescent="0.35">
      <c r="A108" s="3">
        <v>93</v>
      </c>
      <c r="B108" s="19">
        <f>'📈 Доходности'!I97</f>
        <v>-3.492093726641186E-3</v>
      </c>
      <c r="D108" s="19">
        <f>'📈 Доходности'!C97</f>
        <v>-8.0040020010004476E-3</v>
      </c>
      <c r="E108" s="5">
        <f>TREND('📈 Доходности'!C6:C130,'📈 Доходности'!I6:I130,'📈 Доходности'!I97)</f>
        <v>-1.0748918150013253E-2</v>
      </c>
      <c r="F108" s="20">
        <f t="shared" si="4"/>
        <v>2.7449161490128056E-3</v>
      </c>
      <c r="G108" s="21">
        <f t="shared" si="5"/>
        <v>7.5345646651112907E-6</v>
      </c>
    </row>
    <row r="109" spans="1:7" x14ac:dyDescent="0.35">
      <c r="A109" s="3">
        <v>94</v>
      </c>
      <c r="B109" s="19">
        <f>'📈 Доходности'!I98</f>
        <v>-1.3756671985913169E-3</v>
      </c>
      <c r="D109" s="19">
        <f>'📈 Доходности'!C98</f>
        <v>-6.5557236510337966E-3</v>
      </c>
      <c r="E109" s="5">
        <f>TREND('📈 Доходности'!C6:C130,'📈 Доходности'!I6:I130,'📈 Доходности'!I98)</f>
        <v>-7.0950112036456021E-3</v>
      </c>
      <c r="F109" s="20">
        <f t="shared" si="4"/>
        <v>5.3928755261180555E-4</v>
      </c>
      <c r="G109" s="21">
        <f t="shared" si="5"/>
        <v>2.9083106440203091E-7</v>
      </c>
    </row>
    <row r="110" spans="1:7" x14ac:dyDescent="0.35">
      <c r="A110" s="3">
        <v>95</v>
      </c>
      <c r="B110" s="19">
        <f>'📈 Доходности'!I99</f>
        <v>-7.3576325649919059E-3</v>
      </c>
      <c r="D110" s="19">
        <f>'📈 Доходности'!C99</f>
        <v>-1.218274111675125E-2</v>
      </c>
      <c r="E110" s="5">
        <f>TREND('📈 Доходности'!C6:C130,'📈 Доходности'!I6:I130,'📈 Доходности'!I99)</f>
        <v>-1.7422582000710757E-2</v>
      </c>
      <c r="F110" s="20">
        <f t="shared" si="4"/>
        <v>5.2398408839595071E-3</v>
      </c>
      <c r="G110" s="21">
        <f t="shared" si="5"/>
        <v>2.7455932489213548E-5</v>
      </c>
    </row>
    <row r="111" spans="1:7" x14ac:dyDescent="0.35">
      <c r="A111" s="3">
        <v>96</v>
      </c>
      <c r="B111" s="19">
        <f>'📈 Доходности'!I100</f>
        <v>1.8946753341611648E-3</v>
      </c>
      <c r="D111" s="19">
        <f>'📈 Доходности'!C100</f>
        <v>-4.1109969167523464E-3</v>
      </c>
      <c r="E111" s="5">
        <f>TREND('📈 Доходности'!C6:C130,'📈 Доходности'!I6:I130,'📈 Доходности'!I100)</f>
        <v>-1.4489246804169991E-3</v>
      </c>
      <c r="F111" s="20">
        <f t="shared" si="4"/>
        <v>-2.6620722363353473E-3</v>
      </c>
      <c r="G111" s="21">
        <f t="shared" si="5"/>
        <v>7.0866285914674767E-6</v>
      </c>
    </row>
    <row r="112" spans="1:7" x14ac:dyDescent="0.35">
      <c r="A112" s="3">
        <v>97</v>
      </c>
      <c r="B112" s="19">
        <f>'📈 Доходности'!I101</f>
        <v>6.3541868667501538E-3</v>
      </c>
      <c r="D112" s="19">
        <f>'📈 Доходности'!C101</f>
        <v>1.9779841761265887E-2</v>
      </c>
      <c r="E112" s="5">
        <f>TREND('📈 Доходности'!C6:C130,'📈 Доходности'!I6:I130,'📈 Доходности'!I101)</f>
        <v>6.250203992548495E-3</v>
      </c>
      <c r="F112" s="20">
        <f t="shared" si="4"/>
        <v>1.3529637768717392E-2</v>
      </c>
      <c r="G112" s="21">
        <f t="shared" si="5"/>
        <v>1.8305109815270414E-4</v>
      </c>
    </row>
    <row r="113" spans="1:7" x14ac:dyDescent="0.35">
      <c r="A113" s="3">
        <v>98</v>
      </c>
      <c r="B113" s="19">
        <f>'📈 Доходности'!I102</f>
        <v>6.1967096732129618E-3</v>
      </c>
      <c r="D113" s="19">
        <f>'📈 Доходности'!C102</f>
        <v>8.7704503288919405E-3</v>
      </c>
      <c r="E113" s="5">
        <f>TREND('📈 Доходности'!C6:C130,'📈 Доходности'!I6:I130,'📈 Доходности'!I102)</f>
        <v>5.9783273156433789E-3</v>
      </c>
      <c r="F113" s="20">
        <f t="shared" ref="F113:F141" si="6">D113-E113</f>
        <v>2.7921230132485616E-3</v>
      </c>
      <c r="G113" s="21">
        <f t="shared" ref="G113:G141" si="7">F113^2</f>
        <v>7.7959509211122273E-6</v>
      </c>
    </row>
    <row r="114" spans="1:7" x14ac:dyDescent="0.35">
      <c r="A114" s="3">
        <v>99</v>
      </c>
      <c r="B114" s="19">
        <f>'📈 Доходности'!I103</f>
        <v>-3.4399739662078236E-3</v>
      </c>
      <c r="D114" s="19">
        <f>'📈 Доходности'!C103</f>
        <v>-2.1735495736498984E-2</v>
      </c>
      <c r="E114" s="5">
        <f>TREND('📈 Доходности'!C6:C130,'📈 Доходности'!I6:I130,'📈 Доходности'!I103)</f>
        <v>-1.0658935931322224E-2</v>
      </c>
      <c r="F114" s="20">
        <f t="shared" si="6"/>
        <v>-1.107655980517676E-2</v>
      </c>
      <c r="G114" s="21">
        <f t="shared" si="7"/>
        <v>1.2269017711765743E-4</v>
      </c>
    </row>
    <row r="115" spans="1:7" x14ac:dyDescent="0.35">
      <c r="A115" s="3">
        <v>100</v>
      </c>
      <c r="B115" s="19">
        <f>'📈 Доходности'!I104</f>
        <v>7.6579303648461301E-5</v>
      </c>
      <c r="D115" s="19">
        <f>'📈 Доходности'!C104</f>
        <v>-4.1018629294136879E-3</v>
      </c>
      <c r="E115" s="5">
        <f>TREND('📈 Доходности'!C6:C130,'📈 Доходности'!I6:I130,'📈 Доходности'!I104)</f>
        <v>-4.5877786056581441E-3</v>
      </c>
      <c r="F115" s="20">
        <f t="shared" si="6"/>
        <v>4.8591567624445622E-4</v>
      </c>
      <c r="G115" s="21">
        <f t="shared" si="7"/>
        <v>2.3611404442010719E-7</v>
      </c>
    </row>
    <row r="116" spans="1:7" x14ac:dyDescent="0.35">
      <c r="A116" s="3">
        <v>101</v>
      </c>
      <c r="B116" s="19">
        <f>'📈 Доходности'!I105</f>
        <v>6.4755123918941535E-3</v>
      </c>
      <c r="D116" s="19">
        <f>'📈 Доходности'!C105</f>
        <v>-1.0468508666552368E-2</v>
      </c>
      <c r="E116" s="5">
        <f>TREND('📈 Доходности'!C6:C130,'📈 Доходности'!I6:I130,'📈 Доходности'!I105)</f>
        <v>6.4596665811240796E-3</v>
      </c>
      <c r="F116" s="20">
        <f t="shared" si="6"/>
        <v>-1.6928175247676449E-2</v>
      </c>
      <c r="G116" s="21">
        <f t="shared" si="7"/>
        <v>2.8656311721604561E-4</v>
      </c>
    </row>
    <row r="117" spans="1:7" x14ac:dyDescent="0.35">
      <c r="A117" s="3">
        <v>102</v>
      </c>
      <c r="B117" s="19">
        <f>'📈 Доходности'!I106</f>
        <v>1.5775995222702349E-3</v>
      </c>
      <c r="D117" s="19">
        <f>'📈 Доходности'!C106</f>
        <v>-6.4169268123482042E-3</v>
      </c>
      <c r="E117" s="5">
        <f>TREND('📈 Доходности'!C6:C130,'📈 Доходности'!I6:I130,'📈 Доходности'!I106)</f>
        <v>-1.996340570474361E-3</v>
      </c>
      <c r="F117" s="20">
        <f t="shared" si="6"/>
        <v>-4.4205862418738428E-3</v>
      </c>
      <c r="G117" s="21">
        <f t="shared" si="7"/>
        <v>1.9541582721844304E-5</v>
      </c>
    </row>
    <row r="118" spans="1:7" x14ac:dyDescent="0.35">
      <c r="A118" s="3">
        <v>103</v>
      </c>
      <c r="B118" s="19">
        <f>'📈 Доходности'!I107</f>
        <v>-1.9391538524380816E-3</v>
      </c>
      <c r="D118" s="19">
        <f>'📈 Доходности'!C107</f>
        <v>-1.2742188863675979E-2</v>
      </c>
      <c r="E118" s="5">
        <f>TREND('📈 Доходности'!C6:C130,'📈 Доходности'!I6:I130,'📈 Доходности'!I107)</f>
        <v>-8.0678433673840276E-3</v>
      </c>
      <c r="F118" s="20">
        <f t="shared" si="6"/>
        <v>-4.6743454962919519E-3</v>
      </c>
      <c r="G118" s="21">
        <f t="shared" si="7"/>
        <v>2.1849505818704854E-5</v>
      </c>
    </row>
    <row r="119" spans="1:7" x14ac:dyDescent="0.35">
      <c r="A119" s="3">
        <v>104</v>
      </c>
      <c r="B119" s="19">
        <f>'📈 Доходности'!I108</f>
        <v>-5.3333409920530376E-3</v>
      </c>
      <c r="D119" s="19">
        <f>'📈 Доходности'!C108</f>
        <v>1.9448373408769346E-2</v>
      </c>
      <c r="E119" s="5">
        <f>TREND('📈 Доходности'!C6:C130,'📈 Доходности'!I6:I130,'📈 Доходности'!I108)</f>
        <v>-1.3927741550638424E-2</v>
      </c>
      <c r="F119" s="20">
        <f t="shared" si="6"/>
        <v>3.3376114959407774E-2</v>
      </c>
      <c r="G119" s="21">
        <f t="shared" si="7"/>
        <v>1.1139650497836034E-3</v>
      </c>
    </row>
    <row r="120" spans="1:7" x14ac:dyDescent="0.35">
      <c r="A120" s="3">
        <v>105</v>
      </c>
      <c r="B120" s="19">
        <f>'📈 Доходности'!I109</f>
        <v>2.5799093350272703E-3</v>
      </c>
      <c r="D120" s="19">
        <f>'📈 Доходности'!C109</f>
        <v>-1.5955601803676632E-2</v>
      </c>
      <c r="E120" s="5">
        <f>TREND('📈 Доходности'!C6:C130,'📈 Доходности'!I6:I130,'📈 Доходности'!I109)</f>
        <v>-2.659016732545396E-4</v>
      </c>
      <c r="F120" s="20">
        <f t="shared" si="6"/>
        <v>-1.5689700130422091E-2</v>
      </c>
      <c r="G120" s="21">
        <f t="shared" si="7"/>
        <v>2.4616669018256694E-4</v>
      </c>
    </row>
    <row r="121" spans="1:7" x14ac:dyDescent="0.35">
      <c r="A121" s="3">
        <v>106</v>
      </c>
      <c r="B121" s="19">
        <f>'📈 Доходности'!I110</f>
        <v>-6.422376365655026E-4</v>
      </c>
      <c r="D121" s="19">
        <f>'📈 Доходности'!C110</f>
        <v>2.6436376454000454E-3</v>
      </c>
      <c r="E121" s="5">
        <f>TREND('📈 Доходности'!C6:C130,'📈 Доходности'!I6:I130,'📈 Доходности'!I110)</f>
        <v>-5.828780916016945E-3</v>
      </c>
      <c r="F121" s="20">
        <f t="shared" si="6"/>
        <v>8.4724185614169899E-3</v>
      </c>
      <c r="G121" s="21">
        <f t="shared" si="7"/>
        <v>7.1781876279843144E-5</v>
      </c>
    </row>
    <row r="122" spans="1:7" x14ac:dyDescent="0.35">
      <c r="A122" s="3">
        <v>107</v>
      </c>
      <c r="B122" s="19">
        <f>'📈 Доходности'!I111</f>
        <v>-2.0626771431165161E-2</v>
      </c>
      <c r="D122" s="19">
        <f>'📈 Доходности'!C111</f>
        <v>-3.1815784847952229E-2</v>
      </c>
      <c r="E122" s="5">
        <f>TREND('📈 Доходности'!C6:C130,'📈 Доходности'!I6:I130,'📈 Доходности'!I111)</f>
        <v>-4.0331101636448853E-2</v>
      </c>
      <c r="F122" s="20">
        <f t="shared" si="6"/>
        <v>8.5153167884966241E-3</v>
      </c>
      <c r="G122" s="21">
        <f t="shared" si="7"/>
        <v>7.2510620008452465E-5</v>
      </c>
    </row>
    <row r="123" spans="1:7" x14ac:dyDescent="0.35">
      <c r="A123" s="3">
        <v>108</v>
      </c>
      <c r="B123" s="19">
        <f>'📈 Доходности'!I112</f>
        <v>1.1587703733782985E-2</v>
      </c>
      <c r="D123" s="19">
        <f>'📈 Доходности'!C112</f>
        <v>1.4705882352941218E-2</v>
      </c>
      <c r="E123" s="5">
        <f>TREND('📈 Доходности'!C6:C130,'📈 Доходности'!I6:I130,'📈 Доходности'!I112)</f>
        <v>1.5285615040813782E-2</v>
      </c>
      <c r="F123" s="20">
        <f t="shared" si="6"/>
        <v>-5.7973268787256393E-4</v>
      </c>
      <c r="G123" s="21">
        <f t="shared" si="7"/>
        <v>3.3608998938794765E-7</v>
      </c>
    </row>
    <row r="124" spans="1:7" x14ac:dyDescent="0.35">
      <c r="A124" s="3">
        <v>109</v>
      </c>
      <c r="B124" s="19">
        <f>'📈 Доходности'!I113</f>
        <v>5.4875051268104512E-3</v>
      </c>
      <c r="D124" s="19">
        <f>'📈 Доходности'!C113</f>
        <v>2.2544283413848596E-2</v>
      </c>
      <c r="E124" s="5">
        <f>TREND('📈 Доходности'!C6:C130,'📈 Доходности'!I6:I130,'📈 Доходности'!I113)</f>
        <v>4.7539203333308846E-3</v>
      </c>
      <c r="F124" s="20">
        <f t="shared" si="6"/>
        <v>1.7790363080517711E-2</v>
      </c>
      <c r="G124" s="21">
        <f t="shared" si="7"/>
        <v>3.1649701853664759E-4</v>
      </c>
    </row>
    <row r="125" spans="1:7" x14ac:dyDescent="0.35">
      <c r="A125" s="3">
        <v>110</v>
      </c>
      <c r="B125" s="19">
        <f>'📈 Доходности'!I114</f>
        <v>3.2690374420495257E-4</v>
      </c>
      <c r="D125" s="19">
        <f>'📈 Доходности'!C114</f>
        <v>-9.2738407699037816E-3</v>
      </c>
      <c r="E125" s="5">
        <f>TREND('📈 Доходности'!C6:C130,'📈 Доходности'!I6:I130,'📈 Доходности'!I114)</f>
        <v>-4.1556056952960002E-3</v>
      </c>
      <c r="F125" s="20">
        <f t="shared" si="6"/>
        <v>-5.1182350746077814E-3</v>
      </c>
      <c r="G125" s="21">
        <f t="shared" si="7"/>
        <v>2.6196330278945321E-5</v>
      </c>
    </row>
    <row r="126" spans="1:7" x14ac:dyDescent="0.35">
      <c r="A126" s="3">
        <v>111</v>
      </c>
      <c r="B126" s="19">
        <f>'📈 Доходности'!I115</f>
        <v>5.0060659869483517E-3</v>
      </c>
      <c r="D126" s="19">
        <f>'📈 Доходности'!C115</f>
        <v>-3.5323207347220102E-4</v>
      </c>
      <c r="E126" s="5">
        <f>TREND('📈 Доходности'!C6:C130,'📈 Доходности'!I6:I130,'📈 Доходности'!I115)</f>
        <v>3.922739191873398E-3</v>
      </c>
      <c r="F126" s="20">
        <f t="shared" si="6"/>
        <v>-4.2759712653455987E-3</v>
      </c>
      <c r="G126" s="21">
        <f t="shared" si="7"/>
        <v>1.8283930262061242E-5</v>
      </c>
    </row>
    <row r="127" spans="1:7" x14ac:dyDescent="0.35">
      <c r="A127" s="3">
        <v>112</v>
      </c>
      <c r="B127" s="19">
        <f>'📈 Доходности'!I116</f>
        <v>4.0818793047137725E-3</v>
      </c>
      <c r="D127" s="19">
        <f>'📈 Доходности'!C116</f>
        <v>-1.9257950530035397E-2</v>
      </c>
      <c r="E127" s="5">
        <f>TREND('📈 Доходности'!C6:C130,'📈 Доходности'!I6:I130,'📈 Доходности'!I116)</f>
        <v>2.3271760607171477E-3</v>
      </c>
      <c r="F127" s="20">
        <f t="shared" si="6"/>
        <v>-2.1585126590752544E-2</v>
      </c>
      <c r="G127" s="21">
        <f t="shared" si="7"/>
        <v>4.6591768993881251E-4</v>
      </c>
    </row>
    <row r="128" spans="1:7" x14ac:dyDescent="0.35">
      <c r="A128" s="3">
        <v>113</v>
      </c>
      <c r="B128" s="19">
        <f>'📈 Доходности'!I117</f>
        <v>-8.1678273579316549E-5</v>
      </c>
      <c r="D128" s="19">
        <f>'📈 Доходности'!C117</f>
        <v>-2.5761124121779857E-2</v>
      </c>
      <c r="E128" s="5">
        <f>TREND('📈 Доходности'!C6:C130,'📈 Доходности'!I6:I130,'📈 Доходности'!I117)</f>
        <v>-4.8610025768586543E-3</v>
      </c>
      <c r="F128" s="20">
        <f t="shared" si="6"/>
        <v>-2.0900121544921203E-2</v>
      </c>
      <c r="G128" s="21">
        <f t="shared" si="7"/>
        <v>4.3681508059247942E-4</v>
      </c>
    </row>
    <row r="129" spans="1:7" x14ac:dyDescent="0.35">
      <c r="A129" s="3">
        <v>114</v>
      </c>
      <c r="B129" s="19">
        <f>'📈 Доходности'!I118</f>
        <v>-1.292628435245983E-3</v>
      </c>
      <c r="D129" s="19">
        <f>'📈 Доходности'!C118</f>
        <v>-1.7936390532544359E-2</v>
      </c>
      <c r="E129" s="5">
        <f>TREND('📈 Доходности'!C6:C130,'📈 Доходности'!I6:I130,'📈 Доходности'!I118)</f>
        <v>-6.9516488377973206E-3</v>
      </c>
      <c r="F129" s="20">
        <f t="shared" si="6"/>
        <v>-1.0984741694747039E-2</v>
      </c>
      <c r="G129" s="21">
        <f t="shared" si="7"/>
        <v>1.2066455010031404E-4</v>
      </c>
    </row>
    <row r="130" spans="1:7" x14ac:dyDescent="0.35">
      <c r="A130" s="3">
        <v>115</v>
      </c>
      <c r="B130" s="19">
        <f>'📈 Доходности'!I119</f>
        <v>-4.3019022788029389E-3</v>
      </c>
      <c r="D130" s="19">
        <f>'📈 Доходности'!C119</f>
        <v>-7.908115232536277E-3</v>
      </c>
      <c r="E130" s="5">
        <f>TREND('📈 Доходности'!C6:C130,'📈 Доходности'!I6:I130,'📈 Доходности'!I119)</f>
        <v>-1.2147013030584528E-2</v>
      </c>
      <c r="F130" s="20">
        <f t="shared" si="6"/>
        <v>4.2388977980482509E-3</v>
      </c>
      <c r="G130" s="21">
        <f t="shared" si="7"/>
        <v>1.7968254542298309E-5</v>
      </c>
    </row>
    <row r="131" spans="1:7" x14ac:dyDescent="0.35">
      <c r="A131" s="3">
        <v>116</v>
      </c>
      <c r="B131" s="19">
        <f>'📈 Доходности'!I120</f>
        <v>5.3912434446889345E-3</v>
      </c>
      <c r="D131" s="19">
        <f>'📈 Доходности'!C120</f>
        <v>-6.832416018219766E-3</v>
      </c>
      <c r="E131" s="5">
        <f>TREND('📈 Доходности'!C6:C130,'📈 Доходности'!I6:I130,'📈 Доходности'!I120)</f>
        <v>4.5877292445729205E-3</v>
      </c>
      <c r="F131" s="20">
        <f t="shared" si="6"/>
        <v>-1.1420145262792687E-2</v>
      </c>
      <c r="G131" s="21">
        <f t="shared" si="7"/>
        <v>1.3041971782328624E-4</v>
      </c>
    </row>
    <row r="132" spans="1:7" x14ac:dyDescent="0.35">
      <c r="A132" s="3">
        <v>117</v>
      </c>
      <c r="B132" s="19">
        <f>'📈 Доходности'!I121</f>
        <v>-8.4039997477222197E-3</v>
      </c>
      <c r="D132" s="19">
        <f>'📈 Доходности'!C121</f>
        <v>-0.20313395757691566</v>
      </c>
      <c r="E132" s="5">
        <f>TREND('📈 Доходности'!C6:C130,'📈 Доходности'!I6:I130,'📈 Доходности'!I121)</f>
        <v>-1.9229083793594802E-2</v>
      </c>
      <c r="F132" s="20">
        <f t="shared" si="6"/>
        <v>-0.18390487378332085</v>
      </c>
      <c r="G132" s="21">
        <f t="shared" si="7"/>
        <v>3.382100260125917E-2</v>
      </c>
    </row>
    <row r="133" spans="1:7" x14ac:dyDescent="0.35">
      <c r="A133" s="3">
        <v>118</v>
      </c>
      <c r="B133" s="19">
        <f>'📈 Доходности'!I122</f>
        <v>-5.0724145358141005E-3</v>
      </c>
      <c r="D133" s="19">
        <f>'📈 Доходности'!C122</f>
        <v>-1.6067146282973659E-2</v>
      </c>
      <c r="E133" s="5">
        <f>TREND('📈 Доходности'!C6:C130,'📈 Доходности'!I6:I130,'📈 Доходности'!I122)</f>
        <v>-1.3477264778444003E-2</v>
      </c>
      <c r="F133" s="20">
        <f t="shared" si="6"/>
        <v>-2.5898815045296564E-3</v>
      </c>
      <c r="G133" s="21">
        <f t="shared" si="7"/>
        <v>6.7074862075047963E-6</v>
      </c>
    </row>
    <row r="134" spans="1:7" x14ac:dyDescent="0.35">
      <c r="A134" s="3">
        <v>119</v>
      </c>
      <c r="B134" s="19">
        <f>'📈 Доходности'!I123</f>
        <v>-1.2250970546528206E-2</v>
      </c>
      <c r="D134" s="19">
        <f>'📈 Доходности'!C123</f>
        <v>-2.7540823787472642E-2</v>
      </c>
      <c r="E134" s="5">
        <f>TREND('📈 Доходности'!C6:C130,'📈 Доходности'!I6:I130,'📈 Доходности'!I123)</f>
        <v>-2.5870690831653765E-2</v>
      </c>
      <c r="F134" s="20">
        <f t="shared" si="6"/>
        <v>-1.6701329558188767E-3</v>
      </c>
      <c r="G134" s="21">
        <f t="shared" si="7"/>
        <v>2.7893440901122981E-6</v>
      </c>
    </row>
    <row r="135" spans="1:7" x14ac:dyDescent="0.35">
      <c r="A135" s="3">
        <v>120</v>
      </c>
      <c r="B135" s="19">
        <f>'📈 Доходности'!I124</f>
        <v>1.9695810779006905E-2</v>
      </c>
      <c r="D135" s="19">
        <f>'📈 Доходности'!C124</f>
        <v>1.3032581453634165E-2</v>
      </c>
      <c r="E135" s="5">
        <f>TREND('📈 Доходности'!C6:C130,'📈 Доходности'!I6:I130,'📈 Доходности'!I124)</f>
        <v>2.9283865517164873E-2</v>
      </c>
      <c r="F135" s="20">
        <f t="shared" si="6"/>
        <v>-1.6251284063530706E-2</v>
      </c>
      <c r="G135" s="21">
        <f t="shared" si="7"/>
        <v>2.6410423371356709E-4</v>
      </c>
    </row>
    <row r="136" spans="1:7" x14ac:dyDescent="0.35">
      <c r="A136" s="3">
        <v>121</v>
      </c>
      <c r="B136" s="19">
        <f>'📈 Доходности'!I125</f>
        <v>4.691083767292172E-3</v>
      </c>
      <c r="D136" s="19">
        <f>'📈 Доходности'!C125</f>
        <v>1.8060366155368553E-2</v>
      </c>
      <c r="E136" s="5">
        <f>TREND('📈 Доходности'!C6:C130,'📈 Доходности'!I6:I130,'📈 Доходности'!I125)</f>
        <v>3.3789377864712001E-3</v>
      </c>
      <c r="F136" s="20">
        <f t="shared" si="6"/>
        <v>1.4681428368897353E-2</v>
      </c>
      <c r="G136" s="21">
        <f t="shared" si="7"/>
        <v>2.1554433895106402E-4</v>
      </c>
    </row>
    <row r="137" spans="1:7" x14ac:dyDescent="0.35">
      <c r="A137" s="3">
        <v>122</v>
      </c>
      <c r="B137" s="19">
        <f>'📈 Доходности'!I126</f>
        <v>-3.3037465433420118E-3</v>
      </c>
      <c r="D137" s="19">
        <f>'📈 Доходности'!C126</f>
        <v>8.2624544349940085E-3</v>
      </c>
      <c r="E137" s="5">
        <f>TREND('📈 Доходности'!C6:C130,'📈 Доходности'!I6:I130,'📈 Доходности'!I126)</f>
        <v>-1.0423745944758502E-2</v>
      </c>
      <c r="F137" s="20">
        <f t="shared" si="6"/>
        <v>1.8686200379752511E-2</v>
      </c>
      <c r="G137" s="21">
        <f t="shared" si="7"/>
        <v>3.491740846322629E-4</v>
      </c>
    </row>
    <row r="138" spans="1:7" x14ac:dyDescent="0.35">
      <c r="A138" s="3">
        <v>123</v>
      </c>
      <c r="B138" s="19">
        <f>'📈 Доходности'!I127</f>
        <v>-4.8978580514324868E-5</v>
      </c>
      <c r="D138" s="19">
        <f>'📈 Доходности'!C127</f>
        <v>-2.4825259098577995E-2</v>
      </c>
      <c r="E138" s="5">
        <f>TREND('📈 Доходности'!C6:C130,'📈 Доходности'!I6:I130,'📈 Доходности'!I127)</f>
        <v>-4.8045481551951923E-3</v>
      </c>
      <c r="F138" s="20">
        <f t="shared" si="6"/>
        <v>-2.0020710943382803E-2</v>
      </c>
      <c r="G138" s="21">
        <f t="shared" si="7"/>
        <v>4.0082886667848792E-4</v>
      </c>
    </row>
    <row r="139" spans="1:7" x14ac:dyDescent="0.35">
      <c r="A139" s="3">
        <v>124</v>
      </c>
      <c r="B139" s="19">
        <f>'📈 Доходности'!I128</f>
        <v>-1.5660947897203334E-2</v>
      </c>
      <c r="D139" s="19">
        <f>'📈 Доходности'!C128</f>
        <v>-3.4107760751359427E-2</v>
      </c>
      <c r="E139" s="5">
        <f>TREND('📈 Доходности'!C6:C130,'📈 Доходности'!I6:I130,'📈 Доходности'!I128)</f>
        <v>-3.1757850042452795E-2</v>
      </c>
      <c r="F139" s="20">
        <f t="shared" si="6"/>
        <v>-2.3499107089066315E-3</v>
      </c>
      <c r="G139" s="21">
        <f t="shared" si="7"/>
        <v>5.5220803398340674E-6</v>
      </c>
    </row>
    <row r="140" spans="1:7" x14ac:dyDescent="0.35">
      <c r="A140" s="3">
        <v>125</v>
      </c>
      <c r="B140" s="19">
        <f>'📈 Доходности'!I129</f>
        <v>4.9906626312059177E-4</v>
      </c>
      <c r="D140" s="19">
        <f>'📈 Доходности'!C129</f>
        <v>3.0962128966223156E-2</v>
      </c>
      <c r="E140" s="5">
        <f>TREND('📈 Доходности'!C6:C130,'📈 Доходности'!I6:I130,'📈 Доходности'!I129)</f>
        <v>-3.8583755219671655E-3</v>
      </c>
      <c r="F140" s="20">
        <f t="shared" si="6"/>
        <v>3.4820504488190324E-2</v>
      </c>
      <c r="G140" s="21">
        <f t="shared" si="7"/>
        <v>1.2124675328120825E-3</v>
      </c>
    </row>
    <row r="141" spans="1:7" x14ac:dyDescent="0.35">
      <c r="A141" s="3">
        <v>126</v>
      </c>
      <c r="B141" s="19">
        <f>'📈 Доходности'!I130</f>
        <v>1.0312792104351094E-3</v>
      </c>
      <c r="D141" s="19">
        <f>'📈 Доходности'!C130</f>
        <v>1.2906428394142544E-2</v>
      </c>
      <c r="E141" s="5">
        <f>TREND('📈 Доходности'!C6:C130,'📈 Доходности'!I6:I130,'📈 Доходности'!I130)</f>
        <v>-2.9395358838479185E-3</v>
      </c>
      <c r="F141" s="20">
        <f t="shared" si="6"/>
        <v>1.5845964277990461E-2</v>
      </c>
      <c r="G141" s="21">
        <f t="shared" si="7"/>
        <v>2.5109458389934976E-4</v>
      </c>
    </row>
    <row r="143" spans="1:7" ht="15.5" x14ac:dyDescent="0.35">
      <c r="A143" s="6" t="s">
        <v>96</v>
      </c>
      <c r="B143" s="22">
        <f>SQRT(SUM(G17:G141)/125)</f>
        <v>2.346506564537593E-2</v>
      </c>
      <c r="C143" s="34" t="s">
        <v>97</v>
      </c>
      <c r="D143" s="32"/>
      <c r="E143" s="32"/>
      <c r="F143" s="32"/>
    </row>
  </sheetData>
  <mergeCells count="14">
    <mergeCell ref="A1:J1"/>
    <mergeCell ref="A5:J5"/>
    <mergeCell ref="E11:J11"/>
    <mergeCell ref="C10:D10"/>
    <mergeCell ref="E10:J10"/>
    <mergeCell ref="A14:J14"/>
    <mergeCell ref="C11:D11"/>
    <mergeCell ref="A3:J3"/>
    <mergeCell ref="E9:J9"/>
    <mergeCell ref="C143:F143"/>
    <mergeCell ref="A4:J4"/>
    <mergeCell ref="A7:J7"/>
    <mergeCell ref="C9:D9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3"/>
  <sheetViews>
    <sheetView topLeftCell="A44" workbookViewId="0">
      <selection activeCell="A55" sqref="A55:XFD55"/>
    </sheetView>
  </sheetViews>
  <sheetFormatPr defaultRowHeight="14.5" x14ac:dyDescent="0.35"/>
  <cols>
    <col min="1" max="10" width="16" customWidth="1"/>
  </cols>
  <sheetData>
    <row r="1" spans="1:10" ht="18.5" x14ac:dyDescent="0.45">
      <c r="A1" s="28" t="s">
        <v>98</v>
      </c>
      <c r="B1" s="29"/>
      <c r="C1" s="29"/>
      <c r="D1" s="29"/>
      <c r="E1" s="29"/>
      <c r="F1" s="29"/>
      <c r="G1" s="29"/>
      <c r="H1" s="29"/>
      <c r="I1" s="29"/>
      <c r="J1" s="30"/>
    </row>
    <row r="3" spans="1:10" ht="15.5" x14ac:dyDescent="0.35">
      <c r="A3" s="33" t="s">
        <v>99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x14ac:dyDescent="0.35">
      <c r="A4" s="31" t="s">
        <v>100</v>
      </c>
      <c r="B4" s="32"/>
      <c r="C4" s="32"/>
      <c r="D4" s="32"/>
      <c r="E4" s="32"/>
      <c r="F4" s="32"/>
      <c r="G4" s="32"/>
      <c r="H4" s="32"/>
      <c r="I4" s="32"/>
      <c r="J4" s="32"/>
    </row>
    <row r="6" spans="1:10" x14ac:dyDescent="0.35">
      <c r="A6" s="1" t="s">
        <v>3</v>
      </c>
      <c r="B6" s="1" t="s">
        <v>13</v>
      </c>
      <c r="C6" s="1" t="s">
        <v>15</v>
      </c>
      <c r="D6" s="1" t="s">
        <v>101</v>
      </c>
      <c r="E6" s="1" t="s">
        <v>102</v>
      </c>
      <c r="F6" s="1" t="s">
        <v>103</v>
      </c>
      <c r="G6" s="1" t="s">
        <v>104</v>
      </c>
      <c r="H6" s="1"/>
      <c r="I6" s="1"/>
      <c r="J6" s="1"/>
    </row>
    <row r="7" spans="1:10" x14ac:dyDescent="0.35">
      <c r="A7" s="3">
        <v>2</v>
      </c>
      <c r="B7" s="19">
        <f>'📈 Доходности'!C6</f>
        <v>-6.9194176156840703E-3</v>
      </c>
      <c r="C7" s="19">
        <f>'📈 Доходности'!E6</f>
        <v>2.351971707668809E-3</v>
      </c>
      <c r="D7" s="23">
        <f>RANK(B7,$B$7:$B$26)</f>
        <v>13</v>
      </c>
      <c r="E7" s="23">
        <f>RANK(C7,$C$7:$C$26)</f>
        <v>10</v>
      </c>
      <c r="F7" s="10">
        <f>D7-E7</f>
        <v>3</v>
      </c>
      <c r="G7" s="10">
        <f>F7^2</f>
        <v>9</v>
      </c>
    </row>
    <row r="8" spans="1:10" x14ac:dyDescent="0.35">
      <c r="A8" s="3">
        <v>3</v>
      </c>
      <c r="B8" s="19">
        <f>'📈 Доходности'!C7</f>
        <v>-1.4080418057773245E-2</v>
      </c>
      <c r="C8" s="19">
        <f>'📈 Доходности'!E7</f>
        <v>1.2246086390573044E-2</v>
      </c>
      <c r="D8" s="23">
        <f t="shared" ref="D8:D26" si="0">RANK(B8,$B$7:$B$26)</f>
        <v>18</v>
      </c>
      <c r="E8" s="23">
        <f t="shared" ref="E8:E26" si="1">RANK(C8,$C$7:$C$26)</f>
        <v>2</v>
      </c>
      <c r="F8" s="10">
        <f t="shared" ref="F8:F26" si="2">D8-E8</f>
        <v>16</v>
      </c>
      <c r="G8" s="10">
        <f t="shared" ref="G8:G26" si="3">F8^2</f>
        <v>256</v>
      </c>
    </row>
    <row r="9" spans="1:10" x14ac:dyDescent="0.35">
      <c r="A9" s="3">
        <v>4</v>
      </c>
      <c r="B9" s="19">
        <f>'📈 Доходности'!C8</f>
        <v>-7.8032979976443038E-3</v>
      </c>
      <c r="C9" s="19">
        <f>'📈 Доходности'!E8</f>
        <v>-1.2859342481514541E-3</v>
      </c>
      <c r="D9" s="23">
        <f t="shared" si="0"/>
        <v>15</v>
      </c>
      <c r="E9" s="23">
        <f t="shared" si="1"/>
        <v>12</v>
      </c>
      <c r="F9" s="10">
        <f t="shared" si="2"/>
        <v>3</v>
      </c>
      <c r="G9" s="10">
        <f t="shared" si="3"/>
        <v>9</v>
      </c>
    </row>
    <row r="10" spans="1:10" x14ac:dyDescent="0.35">
      <c r="A10" s="3">
        <v>5</v>
      </c>
      <c r="B10" s="19">
        <f>'📈 Доходности'!C9</f>
        <v>3.4871642676954952E-2</v>
      </c>
      <c r="C10" s="19">
        <f>'📈 Доходности'!E9</f>
        <v>1.1893265565438342E-2</v>
      </c>
      <c r="D10" s="23">
        <f t="shared" si="0"/>
        <v>1</v>
      </c>
      <c r="E10" s="23">
        <f t="shared" si="1"/>
        <v>3</v>
      </c>
      <c r="F10" s="10">
        <f t="shared" si="2"/>
        <v>-2</v>
      </c>
      <c r="G10" s="10">
        <f t="shared" si="3"/>
        <v>4</v>
      </c>
    </row>
    <row r="11" spans="1:10" x14ac:dyDescent="0.35">
      <c r="A11" s="3">
        <v>6</v>
      </c>
      <c r="B11" s="19">
        <f>'📈 Доходности'!C10</f>
        <v>-6.0223687983940602E-3</v>
      </c>
      <c r="C11" s="19">
        <f>'📈 Доходности'!E10</f>
        <v>-9.5936511125621887E-3</v>
      </c>
      <c r="D11" s="23">
        <f t="shared" si="0"/>
        <v>12</v>
      </c>
      <c r="E11" s="23">
        <f t="shared" si="1"/>
        <v>18</v>
      </c>
      <c r="F11" s="10">
        <f t="shared" si="2"/>
        <v>-6</v>
      </c>
      <c r="G11" s="10">
        <f t="shared" si="3"/>
        <v>36</v>
      </c>
    </row>
    <row r="12" spans="1:10" x14ac:dyDescent="0.35">
      <c r="A12" s="3">
        <v>7</v>
      </c>
      <c r="B12" s="19">
        <f>'📈 Доходности'!C11</f>
        <v>1.0098095787651513E-2</v>
      </c>
      <c r="C12" s="19">
        <f>'📈 Доходности'!E11</f>
        <v>-2.7048044088310327E-3</v>
      </c>
      <c r="D12" s="23">
        <f t="shared" si="0"/>
        <v>3</v>
      </c>
      <c r="E12" s="23">
        <f t="shared" si="1"/>
        <v>14</v>
      </c>
      <c r="F12" s="10">
        <f t="shared" si="2"/>
        <v>-11</v>
      </c>
      <c r="G12" s="10">
        <f t="shared" si="3"/>
        <v>121</v>
      </c>
    </row>
    <row r="13" spans="1:10" x14ac:dyDescent="0.35">
      <c r="A13" s="3">
        <v>8</v>
      </c>
      <c r="B13" s="19">
        <f>'📈 Доходности'!C12</f>
        <v>-7.569265924021725E-3</v>
      </c>
      <c r="C13" s="19">
        <f>'📈 Доходности'!E12</f>
        <v>-1.5933823778690281E-3</v>
      </c>
      <c r="D13" s="23">
        <f t="shared" si="0"/>
        <v>14</v>
      </c>
      <c r="E13" s="23">
        <f t="shared" si="1"/>
        <v>13</v>
      </c>
      <c r="F13" s="10">
        <f t="shared" si="2"/>
        <v>1</v>
      </c>
      <c r="G13" s="10">
        <f t="shared" si="3"/>
        <v>1</v>
      </c>
    </row>
    <row r="14" spans="1:10" x14ac:dyDescent="0.35">
      <c r="A14" s="3">
        <v>9</v>
      </c>
      <c r="B14" s="19">
        <f>'📈 Доходности'!C13</f>
        <v>5.9001295150382911E-3</v>
      </c>
      <c r="C14" s="19">
        <f>'📈 Доходности'!E13</f>
        <v>-3.0560271646850592E-4</v>
      </c>
      <c r="D14" s="23">
        <f t="shared" si="0"/>
        <v>4</v>
      </c>
      <c r="E14" s="23">
        <f t="shared" si="1"/>
        <v>11</v>
      </c>
      <c r="F14" s="10">
        <f t="shared" si="2"/>
        <v>-7</v>
      </c>
      <c r="G14" s="10">
        <f t="shared" si="3"/>
        <v>49</v>
      </c>
    </row>
    <row r="15" spans="1:10" x14ac:dyDescent="0.35">
      <c r="A15" s="3">
        <v>10</v>
      </c>
      <c r="B15" s="19">
        <f>'📈 Доходности'!C14</f>
        <v>1.8597997138769019E-3</v>
      </c>
      <c r="C15" s="19">
        <f>'📈 Доходности'!E14</f>
        <v>8.1349138955877226E-3</v>
      </c>
      <c r="D15" s="23">
        <f t="shared" si="0"/>
        <v>8</v>
      </c>
      <c r="E15" s="23">
        <f t="shared" si="1"/>
        <v>4</v>
      </c>
      <c r="F15" s="10">
        <f t="shared" si="2"/>
        <v>4</v>
      </c>
      <c r="G15" s="10">
        <f t="shared" si="3"/>
        <v>16</v>
      </c>
    </row>
    <row r="16" spans="1:10" x14ac:dyDescent="0.35">
      <c r="A16" s="3">
        <v>11</v>
      </c>
      <c r="B16" s="19">
        <f>'📈 Доходности'!C15</f>
        <v>-1.3422818791946275E-2</v>
      </c>
      <c r="C16" s="19">
        <f>'📈 Доходности'!E15</f>
        <v>-5.7445123902898675E-3</v>
      </c>
      <c r="D16" s="23">
        <f t="shared" si="0"/>
        <v>17</v>
      </c>
      <c r="E16" s="23">
        <f t="shared" si="1"/>
        <v>16</v>
      </c>
      <c r="F16" s="10">
        <f t="shared" si="2"/>
        <v>1</v>
      </c>
      <c r="G16" s="10">
        <f t="shared" si="3"/>
        <v>1</v>
      </c>
    </row>
    <row r="17" spans="1:7" x14ac:dyDescent="0.35">
      <c r="A17" s="3">
        <v>12</v>
      </c>
      <c r="B17" s="19">
        <f>'📈 Доходности'!C16</f>
        <v>5.6448111159357441E-3</v>
      </c>
      <c r="C17" s="19">
        <f>'📈 Доходности'!E16</f>
        <v>2.3890206709589429E-3</v>
      </c>
      <c r="D17" s="23">
        <f t="shared" si="0"/>
        <v>5</v>
      </c>
      <c r="E17" s="23">
        <f t="shared" si="1"/>
        <v>9</v>
      </c>
      <c r="F17" s="10">
        <f t="shared" si="2"/>
        <v>-4</v>
      </c>
      <c r="G17" s="10">
        <f t="shared" si="3"/>
        <v>16</v>
      </c>
    </row>
    <row r="18" spans="1:7" x14ac:dyDescent="0.35">
      <c r="A18" s="3">
        <v>13</v>
      </c>
      <c r="B18" s="19">
        <f>'📈 Доходности'!C17</f>
        <v>-1.6983304548071485E-2</v>
      </c>
      <c r="C18" s="19">
        <f>'📈 Доходности'!E17</f>
        <v>3.9722114230659094E-3</v>
      </c>
      <c r="D18" s="23">
        <f t="shared" si="0"/>
        <v>19</v>
      </c>
      <c r="E18" s="23">
        <f t="shared" si="1"/>
        <v>8</v>
      </c>
      <c r="F18" s="10">
        <f t="shared" si="2"/>
        <v>11</v>
      </c>
      <c r="G18" s="10">
        <f t="shared" si="3"/>
        <v>121</v>
      </c>
    </row>
    <row r="19" spans="1:7" x14ac:dyDescent="0.35">
      <c r="A19" s="3">
        <v>14</v>
      </c>
      <c r="B19" s="19">
        <f>'📈 Доходности'!C18</f>
        <v>-2.9282576866764692E-3</v>
      </c>
      <c r="C19" s="19">
        <f>'📈 Доходности'!E18</f>
        <v>-1.9176375513502569E-2</v>
      </c>
      <c r="D19" s="23">
        <f t="shared" si="0"/>
        <v>9</v>
      </c>
      <c r="E19" s="23">
        <f t="shared" si="1"/>
        <v>20</v>
      </c>
      <c r="F19" s="10">
        <f t="shared" si="2"/>
        <v>-11</v>
      </c>
      <c r="G19" s="10">
        <f t="shared" si="3"/>
        <v>121</v>
      </c>
    </row>
    <row r="20" spans="1:7" x14ac:dyDescent="0.35">
      <c r="A20" s="3">
        <v>15</v>
      </c>
      <c r="B20" s="19">
        <f>'📈 Доходности'!C19</f>
        <v>2.0558002936857649E-3</v>
      </c>
      <c r="C20" s="19">
        <f>'📈 Доходности'!E19</f>
        <v>4.0853459670082484E-3</v>
      </c>
      <c r="D20" s="23">
        <f t="shared" si="0"/>
        <v>7</v>
      </c>
      <c r="E20" s="23">
        <f t="shared" si="1"/>
        <v>7</v>
      </c>
      <c r="F20" s="10">
        <f t="shared" si="2"/>
        <v>0</v>
      </c>
      <c r="G20" s="10">
        <f t="shared" si="3"/>
        <v>0</v>
      </c>
    </row>
    <row r="21" spans="1:7" x14ac:dyDescent="0.35">
      <c r="A21" s="3">
        <v>16</v>
      </c>
      <c r="B21" s="19">
        <f>'📈 Доходности'!C20</f>
        <v>-1.0550996483001156E-2</v>
      </c>
      <c r="C21" s="19">
        <f>'📈 Доходности'!E20</f>
        <v>-4.4277288657150722E-3</v>
      </c>
      <c r="D21" s="23">
        <f t="shared" si="0"/>
        <v>16</v>
      </c>
      <c r="E21" s="23">
        <f t="shared" si="1"/>
        <v>15</v>
      </c>
      <c r="F21" s="10">
        <f t="shared" si="2"/>
        <v>1</v>
      </c>
      <c r="G21" s="10">
        <f t="shared" si="3"/>
        <v>1</v>
      </c>
    </row>
    <row r="22" spans="1:7" x14ac:dyDescent="0.35">
      <c r="A22" s="3">
        <v>17</v>
      </c>
      <c r="B22" s="19">
        <f>'📈 Доходности'!C21</f>
        <v>-3.006516587677727E-2</v>
      </c>
      <c r="C22" s="19">
        <f>'📈 Доходности'!E21</f>
        <v>-7.916065663850563E-3</v>
      </c>
      <c r="D22" s="23">
        <f t="shared" si="0"/>
        <v>20</v>
      </c>
      <c r="E22" s="23">
        <f t="shared" si="1"/>
        <v>17</v>
      </c>
      <c r="F22" s="10">
        <f t="shared" si="2"/>
        <v>3</v>
      </c>
      <c r="G22" s="10">
        <f t="shared" si="3"/>
        <v>9</v>
      </c>
    </row>
    <row r="23" spans="1:7" x14ac:dyDescent="0.35">
      <c r="A23" s="3">
        <v>18</v>
      </c>
      <c r="B23" s="19">
        <f>'📈 Доходности'!C22</f>
        <v>2.4736601007787521E-2</v>
      </c>
      <c r="C23" s="19">
        <f>'📈 Доходности'!E22</f>
        <v>1.6131544785807098E-2</v>
      </c>
      <c r="D23" s="23">
        <f t="shared" si="0"/>
        <v>2</v>
      </c>
      <c r="E23" s="23">
        <f t="shared" si="1"/>
        <v>1</v>
      </c>
      <c r="F23" s="10">
        <f t="shared" si="2"/>
        <v>1</v>
      </c>
      <c r="G23" s="10">
        <f t="shared" si="3"/>
        <v>1</v>
      </c>
    </row>
    <row r="24" spans="1:7" x14ac:dyDescent="0.35">
      <c r="A24" s="3">
        <v>19</v>
      </c>
      <c r="B24" s="19">
        <f>'📈 Доходности'!C23</f>
        <v>-5.5133363135151919E-3</v>
      </c>
      <c r="C24" s="19">
        <f>'📈 Доходности'!E23</f>
        <v>-1.4120973648798401E-2</v>
      </c>
      <c r="D24" s="23">
        <f t="shared" si="0"/>
        <v>11</v>
      </c>
      <c r="E24" s="23">
        <f t="shared" si="1"/>
        <v>19</v>
      </c>
      <c r="F24" s="10">
        <f t="shared" si="2"/>
        <v>-8</v>
      </c>
      <c r="G24" s="10">
        <f t="shared" si="3"/>
        <v>64</v>
      </c>
    </row>
    <row r="25" spans="1:7" x14ac:dyDescent="0.35">
      <c r="A25" s="3">
        <v>20</v>
      </c>
      <c r="B25" s="19">
        <f>'📈 Доходности'!C24</f>
        <v>3.2963739886125096E-3</v>
      </c>
      <c r="C25" s="19">
        <f>'📈 Доходности'!E24</f>
        <v>4.3885414147000201E-3</v>
      </c>
      <c r="D25" s="23">
        <f t="shared" si="0"/>
        <v>6</v>
      </c>
      <c r="E25" s="23">
        <f t="shared" si="1"/>
        <v>6</v>
      </c>
      <c r="F25" s="10">
        <f t="shared" si="2"/>
        <v>0</v>
      </c>
      <c r="G25" s="10">
        <f t="shared" si="3"/>
        <v>0</v>
      </c>
    </row>
    <row r="26" spans="1:7" x14ac:dyDescent="0.35">
      <c r="A26" s="3">
        <v>21</v>
      </c>
      <c r="B26" s="19">
        <f>'📈 Доходности'!C25</f>
        <v>-3.8829151732376185E-3</v>
      </c>
      <c r="C26" s="19">
        <f>'📈 Доходности'!E25</f>
        <v>5.9347691460812143E-3</v>
      </c>
      <c r="D26" s="23">
        <f t="shared" si="0"/>
        <v>10</v>
      </c>
      <c r="E26" s="23">
        <f t="shared" si="1"/>
        <v>5</v>
      </c>
      <c r="F26" s="10">
        <f t="shared" si="2"/>
        <v>5</v>
      </c>
      <c r="G26" s="10">
        <f t="shared" si="3"/>
        <v>25</v>
      </c>
    </row>
    <row r="28" spans="1:7" x14ac:dyDescent="0.35">
      <c r="A28" s="6" t="s">
        <v>105</v>
      </c>
      <c r="B28" s="24">
        <f>SUM(G7:G26)</f>
        <v>860</v>
      </c>
    </row>
    <row r="29" spans="1:7" ht="15.5" x14ac:dyDescent="0.35">
      <c r="A29" s="6" t="s">
        <v>106</v>
      </c>
      <c r="B29" s="25">
        <f>1-(6*B28)/(20*(20^2-1))</f>
        <v>0.35338345864661658</v>
      </c>
    </row>
    <row r="30" spans="1:7" x14ac:dyDescent="0.35">
      <c r="A30" s="6" t="s">
        <v>107</v>
      </c>
      <c r="B30" s="16">
        <f>CORREL(D7:D26,E7:E26)</f>
        <v>0.35338345864661647</v>
      </c>
      <c r="C30" s="34" t="s">
        <v>108</v>
      </c>
      <c r="D30" s="32"/>
      <c r="E30" s="32"/>
      <c r="F30" s="32"/>
      <c r="G30" s="32"/>
    </row>
    <row r="31" spans="1:7" x14ac:dyDescent="0.35">
      <c r="A31" s="6" t="s">
        <v>109</v>
      </c>
      <c r="B31" s="35" t="str">
        <f>IF(ABS(B29)&gt;=0.7,"🟢 Сильная",IF(ABS(B29)&gt;=0.3,"🟡 Средняя","🔴 Слабая"))</f>
        <v>🟡 Средняя</v>
      </c>
      <c r="C31" s="30"/>
    </row>
    <row r="34" spans="1:10" ht="15.5" x14ac:dyDescent="0.35">
      <c r="A34" s="33" t="s">
        <v>110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35">
      <c r="A35" s="31" t="s">
        <v>111</v>
      </c>
      <c r="B35" s="32"/>
      <c r="C35" s="32"/>
      <c r="D35" s="32"/>
      <c r="E35" s="32"/>
      <c r="F35" s="32"/>
      <c r="G35" s="32"/>
      <c r="H35" s="32"/>
      <c r="I35" s="32"/>
      <c r="J35" s="32"/>
    </row>
    <row r="37" spans="1:10" x14ac:dyDescent="0.35">
      <c r="A37" s="1" t="s">
        <v>16</v>
      </c>
      <c r="B37" s="1" t="s">
        <v>112</v>
      </c>
      <c r="C37" s="1"/>
      <c r="D37" s="1" t="s">
        <v>18</v>
      </c>
      <c r="E37" s="1" t="s">
        <v>112</v>
      </c>
      <c r="F37" s="1"/>
      <c r="G37" s="1"/>
      <c r="H37" s="1"/>
      <c r="I37" s="1"/>
      <c r="J37" s="1"/>
    </row>
    <row r="38" spans="1:10" x14ac:dyDescent="0.35">
      <c r="A38" s="19">
        <f>'📈 Доходности'!F6</f>
        <v>-9.4984989418770947E-3</v>
      </c>
      <c r="B38" s="23" cm="1">
        <f t="array" ref="B38">SUMPRODUCT(($A$38:$A$45&gt;A38)*1)+SUMPRODUCT(($D$38:$D$45&gt;A38)*1)+1</f>
        <v>15</v>
      </c>
      <c r="D38" s="19">
        <f>'📈 Доходности'!H6</f>
        <v>0</v>
      </c>
      <c r="E38" s="23">
        <f t="shared" ref="E38:E45" si="4">SUMPRODUCT(($A$38:$A$45&gt;D38)*1)+SUMPRODUCT(($D$38:$D$45&gt;D38)*1)+1</f>
        <v>7</v>
      </c>
    </row>
    <row r="39" spans="1:10" x14ac:dyDescent="0.35">
      <c r="A39" s="19">
        <f>'📈 Доходности'!F7</f>
        <v>-1.1179568717082382E-2</v>
      </c>
      <c r="B39" s="23">
        <f t="shared" ref="B39:B45" si="5">SUMPRODUCT(($A$38:$A$45&gt;A39)*1)+SUMPRODUCT(($D$38:$D$45&gt;A39)*1)+1</f>
        <v>16</v>
      </c>
      <c r="D39" s="19">
        <f>'📈 Доходности'!H7</f>
        <v>0</v>
      </c>
      <c r="E39" s="23">
        <f t="shared" si="4"/>
        <v>7</v>
      </c>
    </row>
    <row r="40" spans="1:10" x14ac:dyDescent="0.35">
      <c r="A40" s="19">
        <f>'📈 Доходности'!F8</f>
        <v>2.1606954424401126E-3</v>
      </c>
      <c r="B40" s="23">
        <f t="shared" si="5"/>
        <v>5</v>
      </c>
      <c r="D40" s="19">
        <f>'📈 Доходности'!H8</f>
        <v>0</v>
      </c>
      <c r="E40" s="23">
        <f t="shared" si="4"/>
        <v>7</v>
      </c>
    </row>
    <row r="41" spans="1:10" x14ac:dyDescent="0.35">
      <c r="A41" s="19">
        <f>'📈 Доходности'!F9</f>
        <v>3.1738868832731713E-2</v>
      </c>
      <c r="B41" s="23">
        <f t="shared" si="5"/>
        <v>1</v>
      </c>
      <c r="D41" s="19">
        <f>'📈 Доходности'!H9</f>
        <v>0</v>
      </c>
      <c r="E41" s="23">
        <f t="shared" si="4"/>
        <v>7</v>
      </c>
    </row>
    <row r="42" spans="1:10" x14ac:dyDescent="0.35">
      <c r="A42" s="19">
        <f>'📈 Доходности'!F10</f>
        <v>1.166350779997073E-2</v>
      </c>
      <c r="B42" s="23">
        <f t="shared" si="5"/>
        <v>3</v>
      </c>
      <c r="D42" s="19">
        <f>'📈 Доходности'!H10</f>
        <v>9.8920863309353603E-3</v>
      </c>
      <c r="E42" s="23">
        <f t="shared" si="4"/>
        <v>4</v>
      </c>
    </row>
    <row r="43" spans="1:10" x14ac:dyDescent="0.35">
      <c r="A43" s="19">
        <f>'📈 Доходности'!F11</f>
        <v>-6.4850843060959527E-3</v>
      </c>
      <c r="B43" s="23">
        <f t="shared" si="5"/>
        <v>14</v>
      </c>
      <c r="D43" s="19">
        <f>'📈 Доходности'!H11</f>
        <v>-2.6714158504008135E-3</v>
      </c>
      <c r="E43" s="23">
        <f t="shared" si="4"/>
        <v>13</v>
      </c>
    </row>
    <row r="44" spans="1:10" x14ac:dyDescent="0.35">
      <c r="A44" s="19">
        <f>'📈 Доходности'!F12</f>
        <v>1.6439415917222872E-3</v>
      </c>
      <c r="B44" s="23">
        <f t="shared" si="5"/>
        <v>6</v>
      </c>
      <c r="D44" s="19">
        <f>'📈 Доходности'!H12</f>
        <v>0</v>
      </c>
      <c r="E44" s="23">
        <f t="shared" si="4"/>
        <v>7</v>
      </c>
    </row>
    <row r="45" spans="1:10" x14ac:dyDescent="0.35">
      <c r="A45" s="19">
        <f>'📈 Доходности'!F13</f>
        <v>2.0032824869665986E-2</v>
      </c>
      <c r="B45" s="23">
        <f t="shared" si="5"/>
        <v>2</v>
      </c>
      <c r="D45" s="19">
        <f>'📈 Доходности'!H13</f>
        <v>0</v>
      </c>
      <c r="E45" s="23">
        <f t="shared" si="4"/>
        <v>7</v>
      </c>
    </row>
    <row r="47" spans="1:10" x14ac:dyDescent="0.35">
      <c r="A47" s="36" t="s">
        <v>113</v>
      </c>
      <c r="B47" s="29"/>
      <c r="C47" s="30"/>
      <c r="D47" s="15">
        <f>SUM(B38:B45)</f>
        <v>62</v>
      </c>
    </row>
    <row r="48" spans="1:10" x14ac:dyDescent="0.35">
      <c r="A48" s="36" t="s">
        <v>114</v>
      </c>
      <c r="B48" s="29"/>
      <c r="C48" s="30"/>
      <c r="D48" s="15">
        <f>SUM(E38:E45)</f>
        <v>59</v>
      </c>
    </row>
    <row r="49" spans="1:7" x14ac:dyDescent="0.35">
      <c r="A49" s="36" t="s">
        <v>115</v>
      </c>
      <c r="B49" s="29"/>
      <c r="C49" s="30"/>
      <c r="D49" s="10">
        <f>8*8+8*(8+1)/2-D47</f>
        <v>38</v>
      </c>
    </row>
    <row r="50" spans="1:7" x14ac:dyDescent="0.35">
      <c r="A50" s="36" t="s">
        <v>116</v>
      </c>
      <c r="B50" s="29"/>
      <c r="C50" s="30"/>
      <c r="D50" s="10">
        <f>8*8+8*(8+1)/2-D48</f>
        <v>41</v>
      </c>
    </row>
    <row r="51" spans="1:7" ht="15.5" x14ac:dyDescent="0.35">
      <c r="A51" s="36" t="s">
        <v>117</v>
      </c>
      <c r="B51" s="29"/>
      <c r="C51" s="30"/>
      <c r="D51" s="26">
        <f>MIN(D49,D50)</f>
        <v>38</v>
      </c>
    </row>
    <row r="52" spans="1:7" x14ac:dyDescent="0.35">
      <c r="A52" s="36" t="s">
        <v>118</v>
      </c>
      <c r="B52" s="29"/>
      <c r="C52" s="30"/>
      <c r="D52" s="3">
        <v>13</v>
      </c>
    </row>
    <row r="53" spans="1:7" ht="15.5" x14ac:dyDescent="0.35">
      <c r="A53" s="43" t="s">
        <v>119</v>
      </c>
      <c r="B53" s="29"/>
      <c r="C53" s="30"/>
      <c r="D53" s="42" t="str">
        <f>IF(D51&lt;=D52,"✅ Секторы РАЗЛИЧАЮТСЯ","❌ Различий НЕТ")</f>
        <v>❌ Различий НЕТ</v>
      </c>
      <c r="E53" s="29"/>
      <c r="F53" s="29"/>
      <c r="G53" s="30"/>
    </row>
  </sheetData>
  <mergeCells count="15">
    <mergeCell ref="A3:J3"/>
    <mergeCell ref="A34:J34"/>
    <mergeCell ref="A4:J4"/>
    <mergeCell ref="B31:C31"/>
    <mergeCell ref="A52:C52"/>
    <mergeCell ref="A49:C49"/>
    <mergeCell ref="A47:C47"/>
    <mergeCell ref="A53:C53"/>
    <mergeCell ref="A50:C50"/>
    <mergeCell ref="A51:C51"/>
    <mergeCell ref="D53:G53"/>
    <mergeCell ref="A1:J1"/>
    <mergeCell ref="C30:G30"/>
    <mergeCell ref="A35:J35"/>
    <mergeCell ref="A48:C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topLeftCell="A10" workbookViewId="0">
      <selection activeCell="A24" sqref="A24:XFD24"/>
    </sheetView>
  </sheetViews>
  <sheetFormatPr defaultRowHeight="14.5" x14ac:dyDescent="0.35"/>
  <cols>
    <col min="1" max="4" width="16" customWidth="1"/>
    <col min="5" max="5" width="45" customWidth="1"/>
    <col min="6" max="10" width="16" customWidth="1"/>
  </cols>
  <sheetData>
    <row r="1" spans="1:10" ht="18.5" x14ac:dyDescent="0.45">
      <c r="A1" s="28" t="s">
        <v>120</v>
      </c>
      <c r="B1" s="29"/>
      <c r="C1" s="29"/>
      <c r="D1" s="29"/>
      <c r="E1" s="29"/>
      <c r="F1" s="29"/>
      <c r="G1" s="29"/>
      <c r="H1" s="29"/>
      <c r="I1" s="29"/>
      <c r="J1" s="30"/>
    </row>
    <row r="3" spans="1:10" ht="15.5" x14ac:dyDescent="0.35">
      <c r="A3" s="33" t="s">
        <v>121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x14ac:dyDescent="0.35">
      <c r="A4" s="31" t="s">
        <v>122</v>
      </c>
      <c r="B4" s="32"/>
      <c r="C4" s="32"/>
      <c r="D4" s="32"/>
      <c r="E4" s="32"/>
      <c r="F4" s="32"/>
      <c r="G4" s="32"/>
      <c r="H4" s="32"/>
      <c r="I4" s="32"/>
      <c r="J4" s="32"/>
    </row>
    <row r="6" spans="1:10" x14ac:dyDescent="0.35">
      <c r="A6" s="1" t="s">
        <v>123</v>
      </c>
      <c r="B6" s="1" t="s">
        <v>124</v>
      </c>
      <c r="C6" s="1"/>
      <c r="D6" s="1" t="s">
        <v>78</v>
      </c>
      <c r="E6" s="1" t="s">
        <v>38</v>
      </c>
      <c r="F6" s="1"/>
      <c r="G6" s="1"/>
      <c r="H6" s="1"/>
      <c r="I6" s="1"/>
      <c r="J6" s="1"/>
    </row>
    <row r="7" spans="1:10" x14ac:dyDescent="0.35">
      <c r="A7" s="6" t="s">
        <v>125</v>
      </c>
      <c r="B7" s="36" t="s">
        <v>126</v>
      </c>
      <c r="C7" s="30"/>
      <c r="D7" s="16">
        <f>CORREL('📈 Доходности'!C6:C130,'📈 Доходности'!H6:H130)</f>
        <v>0.2050063568408475</v>
      </c>
      <c r="E7" s="38" t="s">
        <v>127</v>
      </c>
      <c r="F7" s="29"/>
      <c r="G7" s="29"/>
      <c r="H7" s="29"/>
      <c r="I7" s="29"/>
      <c r="J7" s="30"/>
    </row>
    <row r="8" spans="1:10" x14ac:dyDescent="0.35">
      <c r="A8" s="6" t="s">
        <v>128</v>
      </c>
      <c r="B8" s="36" t="s">
        <v>129</v>
      </c>
      <c r="C8" s="30"/>
      <c r="D8" s="16">
        <f>CORREL('📈 Доходности'!C6:C130,'📈 Доходности'!I6:I130)</f>
        <v>0.47074376866153661</v>
      </c>
    </row>
    <row r="9" spans="1:10" x14ac:dyDescent="0.35">
      <c r="A9" s="6" t="s">
        <v>130</v>
      </c>
      <c r="B9" s="36" t="s">
        <v>131</v>
      </c>
      <c r="C9" s="30"/>
      <c r="D9" s="16">
        <f>CORREL('📈 Доходности'!H6:H130,'📈 Доходности'!I6:I130)</f>
        <v>7.5406928008462965E-2</v>
      </c>
    </row>
    <row r="10" spans="1:10" ht="15.5" x14ac:dyDescent="0.35">
      <c r="A10" s="6" t="s">
        <v>132</v>
      </c>
      <c r="B10" s="45" t="s">
        <v>133</v>
      </c>
      <c r="C10" s="30"/>
      <c r="D10" s="25">
        <f>(D7-D8*D9)/SQRT((1-D8^2)*(1-D9^2))</f>
        <v>0.19267686447869783</v>
      </c>
      <c r="E10" s="38" t="s">
        <v>134</v>
      </c>
      <c r="F10" s="29"/>
      <c r="G10" s="29"/>
      <c r="H10" s="29"/>
      <c r="I10" s="29"/>
      <c r="J10" s="30"/>
    </row>
    <row r="13" spans="1:10" ht="15.5" x14ac:dyDescent="0.35">
      <c r="A13" s="33" t="s">
        <v>135</v>
      </c>
      <c r="B13" s="32"/>
      <c r="C13" s="32"/>
      <c r="D13" s="32"/>
      <c r="E13" s="32"/>
      <c r="F13" s="32"/>
      <c r="G13" s="32"/>
      <c r="H13" s="32"/>
      <c r="I13" s="32"/>
      <c r="J13" s="32"/>
    </row>
    <row r="14" spans="1:10" x14ac:dyDescent="0.35">
      <c r="A14" s="31" t="s">
        <v>136</v>
      </c>
      <c r="B14" s="32"/>
      <c r="C14" s="32"/>
      <c r="D14" s="32"/>
      <c r="E14" s="32"/>
      <c r="F14" s="32"/>
      <c r="G14" s="32"/>
      <c r="H14" s="32"/>
      <c r="I14" s="32"/>
      <c r="J14" s="32"/>
    </row>
    <row r="16" spans="1:10" x14ac:dyDescent="0.35">
      <c r="A16" s="1" t="s">
        <v>123</v>
      </c>
      <c r="B16" s="1" t="s">
        <v>137</v>
      </c>
      <c r="C16" s="1"/>
      <c r="D16" s="1" t="s">
        <v>78</v>
      </c>
      <c r="E16" s="1" t="s">
        <v>38</v>
      </c>
      <c r="F16" s="1"/>
      <c r="G16" s="1"/>
      <c r="H16" s="1"/>
      <c r="I16" s="1"/>
      <c r="J16" s="1"/>
    </row>
    <row r="17" spans="1:10" x14ac:dyDescent="0.35">
      <c r="A17" s="6" t="s">
        <v>125</v>
      </c>
      <c r="B17" s="36" t="s">
        <v>138</v>
      </c>
      <c r="C17" s="30"/>
      <c r="D17" s="5">
        <f>AVERAGE('📈 Доходности'!C6:C20)</f>
        <v>-1.7233244533379753E-3</v>
      </c>
    </row>
    <row r="18" spans="1:10" x14ac:dyDescent="0.35">
      <c r="A18" s="6" t="s">
        <v>128</v>
      </c>
      <c r="B18" s="36" t="s">
        <v>139</v>
      </c>
      <c r="C18" s="30"/>
      <c r="D18" s="5">
        <f>AVERAGE('📈 Доходности'!C21:G130)</f>
        <v>4.8308425424772216E-4</v>
      </c>
    </row>
    <row r="19" spans="1:10" x14ac:dyDescent="0.35">
      <c r="A19" s="6" t="s">
        <v>130</v>
      </c>
      <c r="B19" s="36" t="s">
        <v>140</v>
      </c>
      <c r="C19" s="30"/>
      <c r="D19" s="5">
        <f>STDEV('📈 Доходности'!C6:C20)</f>
        <v>1.2919833831301009E-2</v>
      </c>
    </row>
    <row r="20" spans="1:10" x14ac:dyDescent="0.35">
      <c r="A20" s="6" t="s">
        <v>141</v>
      </c>
      <c r="B20" s="36" t="s">
        <v>142</v>
      </c>
      <c r="C20" s="30"/>
      <c r="D20" s="5">
        <f>STDEV('📈 Доходности'!C21:C130)</f>
        <v>2.8089901105212294E-2</v>
      </c>
    </row>
    <row r="21" spans="1:10" x14ac:dyDescent="0.35">
      <c r="A21" s="6" t="s">
        <v>143</v>
      </c>
      <c r="B21" s="36" t="s">
        <v>144</v>
      </c>
      <c r="C21" s="30"/>
      <c r="D21" s="5">
        <f>SQRT((D19^2+D20^2)/2)</f>
        <v>2.1862806891259835E-2</v>
      </c>
    </row>
    <row r="22" spans="1:10" ht="15.5" x14ac:dyDescent="0.35">
      <c r="A22" s="6" t="s">
        <v>145</v>
      </c>
      <c r="B22" s="45" t="s">
        <v>146</v>
      </c>
      <c r="C22" s="30"/>
      <c r="D22" s="25">
        <f>(D17-D18)/D21</f>
        <v>-0.10092065115700037</v>
      </c>
      <c r="E22" s="44" t="str">
        <f>IF(ABS(D22)&gt;=0.8,"Большой ⬆️ Тренд!",IF(ABS(D22)&gt;=0.5,"Средний ➡️","Малый ⬇️ Стабильно"))</f>
        <v>Малый ⬇️ Стабильно</v>
      </c>
      <c r="F22" s="29"/>
      <c r="G22" s="29"/>
      <c r="H22" s="29"/>
      <c r="I22" s="29"/>
      <c r="J22" s="30"/>
    </row>
  </sheetData>
  <mergeCells count="18">
    <mergeCell ref="A1:J1"/>
    <mergeCell ref="B18:C18"/>
    <mergeCell ref="B10:C10"/>
    <mergeCell ref="B9:C9"/>
    <mergeCell ref="E10:J10"/>
    <mergeCell ref="B7:C7"/>
    <mergeCell ref="A13:J13"/>
    <mergeCell ref="A4:J4"/>
    <mergeCell ref="B17:C17"/>
    <mergeCell ref="B19:C19"/>
    <mergeCell ref="A3:J3"/>
    <mergeCell ref="E22:J22"/>
    <mergeCell ref="B22:C22"/>
    <mergeCell ref="A14:J14"/>
    <mergeCell ref="B8:C8"/>
    <mergeCell ref="E7:J7"/>
    <mergeCell ref="B21:C21"/>
    <mergeCell ref="B20:C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4F76-BAA2-46A9-B232-B2C43255B676}">
  <dimension ref="C7:K12"/>
  <sheetViews>
    <sheetView tabSelected="1" workbookViewId="0">
      <selection activeCell="J12" sqref="J12"/>
    </sheetView>
  </sheetViews>
  <sheetFormatPr defaultRowHeight="14.5" x14ac:dyDescent="0.35"/>
  <cols>
    <col min="3" max="3" width="15.54296875" bestFit="1" customWidth="1"/>
    <col min="4" max="4" width="8.7265625" style="52"/>
    <col min="10" max="11" width="8.7265625" style="52"/>
  </cols>
  <sheetData>
    <row r="7" spans="3:11" x14ac:dyDescent="0.35">
      <c r="C7">
        <v>10000</v>
      </c>
      <c r="D7" s="52">
        <f>C7/6</f>
        <v>1666.6666666666667</v>
      </c>
    </row>
    <row r="8" spans="3:11" x14ac:dyDescent="0.35">
      <c r="D8" s="52">
        <f>$D$7/D9</f>
        <v>24.025755610013935</v>
      </c>
      <c r="E8" s="27">
        <f t="shared" ref="E8:I8" si="0">$D$7/E9</f>
        <v>6.2902576489533022</v>
      </c>
      <c r="F8" s="27">
        <f t="shared" si="0"/>
        <v>2.8612794497187362</v>
      </c>
      <c r="G8" s="27">
        <f t="shared" si="0"/>
        <v>8.2025034040389126</v>
      </c>
      <c r="H8" s="27">
        <f t="shared" si="0"/>
        <v>16.58374792703151</v>
      </c>
      <c r="I8" s="27">
        <f t="shared" si="0"/>
        <v>149.88009592326142</v>
      </c>
    </row>
    <row r="9" spans="3:11" x14ac:dyDescent="0.35">
      <c r="C9" t="s">
        <v>148</v>
      </c>
      <c r="D9" s="53">
        <f>'📊 Цены'!C4</f>
        <v>69.37</v>
      </c>
      <c r="E9" s="51">
        <f>'📊 Цены'!D4</f>
        <v>264.95999999999998</v>
      </c>
      <c r="F9" s="51">
        <f>'📊 Цены'!E4</f>
        <v>582.49</v>
      </c>
      <c r="G9" s="51">
        <f>'📊 Цены'!F4</f>
        <v>203.19</v>
      </c>
      <c r="H9" s="51">
        <f>'📊 Цены'!G4</f>
        <v>100.5</v>
      </c>
      <c r="I9" s="51">
        <f>'📊 Цены'!H4</f>
        <v>11.12</v>
      </c>
      <c r="J9" s="53"/>
      <c r="K9" s="53"/>
    </row>
    <row r="10" spans="3:11" x14ac:dyDescent="0.35">
      <c r="C10" t="s">
        <v>149</v>
      </c>
      <c r="D10" s="53">
        <f>'📊 Цены'!C129</f>
        <v>40.81</v>
      </c>
      <c r="E10" s="51">
        <f>'📊 Цены'!D129</f>
        <v>359.94</v>
      </c>
      <c r="F10" s="51">
        <f>'📊 Цены'!E129</f>
        <v>521.92999999999995</v>
      </c>
      <c r="G10" s="51">
        <f>'📊 Цены'!F129</f>
        <v>302.02</v>
      </c>
      <c r="H10" s="51">
        <f>'📊 Цены'!G129</f>
        <v>128.85</v>
      </c>
      <c r="I10" s="51">
        <f>'📊 Цены'!H129</f>
        <v>17.940000000000001</v>
      </c>
    </row>
    <row r="11" spans="3:11" x14ac:dyDescent="0.35">
      <c r="C11" t="s">
        <v>150</v>
      </c>
      <c r="D11" s="53">
        <f>((D10-D9))*D8</f>
        <v>-686.17558022199808</v>
      </c>
      <c r="E11" s="51">
        <f t="shared" ref="E11:I11" si="1">((E10-E9))*E8</f>
        <v>597.44867149758477</v>
      </c>
      <c r="F11" s="51">
        <f t="shared" si="1"/>
        <v>-173.27908347496682</v>
      </c>
      <c r="G11" s="51">
        <f t="shared" si="1"/>
        <v>810.65341142116563</v>
      </c>
      <c r="H11" s="51">
        <f t="shared" si="1"/>
        <v>470.14925373134321</v>
      </c>
      <c r="I11" s="51">
        <f t="shared" si="1"/>
        <v>1022.1822541966432</v>
      </c>
    </row>
    <row r="12" spans="3:11" x14ac:dyDescent="0.35">
      <c r="C12" t="s">
        <v>151</v>
      </c>
      <c r="D12" s="53">
        <f>$D$7+D11</f>
        <v>980.49108644466867</v>
      </c>
      <c r="E12" s="51">
        <f t="shared" ref="E12:I12" si="2">$D$7+E11</f>
        <v>2264.1153381642516</v>
      </c>
      <c r="F12" s="51">
        <f t="shared" si="2"/>
        <v>1493.3875831916998</v>
      </c>
      <c r="G12" s="51">
        <f t="shared" si="2"/>
        <v>2477.3200780878324</v>
      </c>
      <c r="H12" s="51">
        <f t="shared" si="2"/>
        <v>2136.8159203980099</v>
      </c>
      <c r="I12" s="51">
        <f t="shared" si="2"/>
        <v>2688.84892086331</v>
      </c>
      <c r="J12" s="54">
        <f>SUM(D12:I12)</f>
        <v>12040.978927149772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Цены</vt:lpstr>
      <vt:lpstr>📈 Доходности</vt:lpstr>
      <vt:lpstr>📊 Корреляция</vt:lpstr>
      <vt:lpstr>📈 Регрессия</vt:lpstr>
      <vt:lpstr>🏅 Ранговые методы</vt:lpstr>
      <vt:lpstr>⭐ Бонус</vt:lpstr>
      <vt:lpstr>6 бонус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ktzhadmin</cp:lastModifiedBy>
  <dcterms:created xsi:type="dcterms:W3CDTF">2026-02-18T12:57:47Z</dcterms:created>
  <dcterms:modified xsi:type="dcterms:W3CDTF">2026-02-22T17:44:54Z</dcterms:modified>
</cp:coreProperties>
</file>